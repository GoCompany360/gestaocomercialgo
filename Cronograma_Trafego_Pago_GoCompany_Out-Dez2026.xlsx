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mensal" sheetId="1" state="visible" r:id="rId3"/>
    <sheet name="Calendário" sheetId="2" state="visible" r:id="rId4"/>
    <sheet name="Fluxo semanal" sheetId="3" state="visible" r:id="rId5"/>
    <sheet name="Posicionamento" sheetId="4" state="visible" r:id="rId6"/>
    <sheet name="Premissas" sheetId="5" state="visible" r:id="rId7"/>
  </sheets>
  <definedNames>
    <definedName function="false" hidden="true" localSheetId="1" name="_xlnm._FilterDatabase" vbProcedure="false">Calendário!$A$4:$O$140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<sst xmlns="http://schemas.openxmlformats.org/spreadsheetml/2006/main" count="1434" uniqueCount="530">
  <si>
    <t xml:space="preserve">RESUMO MENSAL — quantidade de criativos por empreendimento</t>
  </si>
  <si>
    <t xml:space="preserve">Calculado a partir da aba Calendário (se incluir ou remover linhas lá, os números aqui se atualizam).</t>
  </si>
  <si>
    <t xml:space="preserve">Empreendimento</t>
  </si>
  <si>
    <t xml:space="preserve">OUTUBRO</t>
  </si>
  <si>
    <t xml:space="preserve">NOVEMBRO</t>
  </si>
  <si>
    <t xml:space="preserve">DEZEMBRO</t>
  </si>
  <si>
    <t xml:space="preserve">TOTAL TRIMESTRE</t>
  </si>
  <si>
    <t xml:space="preserve">Apresentação: principal argumento de cada projeto</t>
  </si>
  <si>
    <t xml:space="preserve">Aprofundamento: produto, condição e prova</t>
  </si>
  <si>
    <t xml:space="preserve">Fim de ano: oferta, urgência e 'comece 2027'</t>
  </si>
  <si>
    <t xml:space="preserve">Out + Nov + Dez</t>
  </si>
  <si>
    <t xml:space="preserve">Vídeos</t>
  </si>
  <si>
    <t xml:space="preserve">Carrosséis</t>
  </si>
  <si>
    <t xml:space="preserve">Estáticos</t>
  </si>
  <si>
    <t xml:space="preserve">Total</t>
  </si>
  <si>
    <t xml:space="preserve">Residencial Mont'Santo</t>
  </si>
  <si>
    <t xml:space="preserve">Sync Floriano</t>
  </si>
  <si>
    <t xml:space="preserve">Residencial Einstein</t>
  </si>
  <si>
    <t xml:space="preserve">Infinity Residence</t>
  </si>
  <si>
    <t xml:space="preserve">Residencial Amália</t>
  </si>
  <si>
    <t xml:space="preserve">Residencial Fiorello</t>
  </si>
  <si>
    <t xml:space="preserve">Primado Residence</t>
  </si>
  <si>
    <t xml:space="preserve">Moradas do Lago</t>
  </si>
  <si>
    <t xml:space="preserve">TOTAL GO</t>
  </si>
  <si>
    <t xml:space="preserve">CALENDÁRIO DE CRIATIVOS — TRÁFEGO PAGO | OUT a DEZ/2026</t>
  </si>
  <si>
    <t xml:space="preserve">GoCompany · 136 criativos novos · 2 vídeos por projeto/mês · cada empreendimento tem um dia fixo de subida (Ter, Qua, Qui ou Sex) para manter o fluxo leve e constante</t>
  </si>
  <si>
    <t xml:space="preserve">Nº</t>
  </si>
  <si>
    <t xml:space="preserve">Mês</t>
  </si>
  <si>
    <t xml:space="preserve">Semana</t>
  </si>
  <si>
    <t xml:space="preserve">Data no ar</t>
  </si>
  <si>
    <t xml:space="preserve">Dia</t>
  </si>
  <si>
    <t xml:space="preserve">Formato</t>
  </si>
  <si>
    <t xml:space="preserve">Tema</t>
  </si>
  <si>
    <t xml:space="preserve">Ideia do criativo</t>
  </si>
  <si>
    <t xml:space="preserve">Chamada principal</t>
  </si>
  <si>
    <t xml:space="preserve">CTA</t>
  </si>
  <si>
    <t xml:space="preserve">Aprovação até</t>
  </si>
  <si>
    <t xml:space="preserve">Status</t>
  </si>
  <si>
    <t xml:space="preserve">Responsável</t>
  </si>
  <si>
    <t xml:space="preserve">Observações</t>
  </si>
  <si>
    <t xml:space="preserve">Outubro</t>
  </si>
  <si>
    <t xml:space="preserve">S01 · 12/10–16/10</t>
  </si>
  <si>
    <t xml:space="preserve">Vídeo</t>
  </si>
  <si>
    <t xml:space="preserve">Preço de custo</t>
  </si>
  <si>
    <t xml:space="preserve">Consultor na obra explica em 30s o que é obra a preço de custo e por que o m² sai abaixo do alto padrão da cidade.</t>
  </si>
  <si>
    <t xml:space="preserve">O m² mais em conta de Santa Maria no verdadeiro alto padrão.</t>
  </si>
  <si>
    <t xml:space="preserve">Fale com um consultor no WhatsApp</t>
  </si>
  <si>
    <t xml:space="preserve">A produzir</t>
  </si>
  <si>
    <t xml:space="preserve">Estático</t>
  </si>
  <si>
    <t xml:space="preserve">Preço do m²</t>
  </si>
  <si>
    <t xml:space="preserve">Fachada/render + frase de impacto.</t>
  </si>
  <si>
    <t xml:space="preserve">O m² mais em conta da cidade no verdadeiro alto padrão.</t>
  </si>
  <si>
    <t xml:space="preserve">Carrossel</t>
  </si>
  <si>
    <t xml:space="preserve">Condição passo a passo</t>
  </si>
  <si>
    <t xml:space="preserve">Card 1 entrada, card 2 parcelas, card 3 prazo de 40 meses, card 4 'monte a sua condição'.</t>
  </si>
  <si>
    <t xml:space="preserve">Do jeito que cabe no seu bolso.</t>
  </si>
  <si>
    <t xml:space="preserve">Simule sua condição no WhatsApp</t>
  </si>
  <si>
    <t xml:space="preserve">Validar valores da condição com a construtora</t>
  </si>
  <si>
    <t xml:space="preserve">Entrada</t>
  </si>
  <si>
    <t xml:space="preserve">Render + números grandes.</t>
  </si>
  <si>
    <t xml:space="preserve">Entrada de R$ 10 mil + 40 meses para pagar.</t>
  </si>
  <si>
    <t xml:space="preserve">Quase pronto</t>
  </si>
  <si>
    <t xml:space="preserve">Tour pela obra em fase final (acabamentos, fachada, áreas comuns).</t>
  </si>
  <si>
    <t xml:space="preserve">Falta pouco para você pegar as chaves.</t>
  </si>
  <si>
    <t xml:space="preserve">Condição</t>
  </si>
  <si>
    <t xml:space="preserve">Render + números destacados.</t>
  </si>
  <si>
    <t xml:space="preserve">20% durante a obra. Saldo nas chaves.</t>
  </si>
  <si>
    <t xml:space="preserve">Manifesto</t>
  </si>
  <si>
    <t xml:space="preserve">Vídeo cinematográfico, sem preço: arquitetura, luz, texturas e trilha sofisticada.</t>
  </si>
  <si>
    <t xml:space="preserve">Poucos endereços são únicos. Este é um deles.</t>
  </si>
  <si>
    <t xml:space="preserve">Agende uma apresentação privada</t>
  </si>
  <si>
    <t xml:space="preserve">Exclusividade</t>
  </si>
  <si>
    <t xml:space="preserve">Render principal, layout minimalista.</t>
  </si>
  <si>
    <t xml:space="preserve">Exclusividade não se repete.</t>
  </si>
  <si>
    <t xml:space="preserve">Por que perto da UFSM</t>
  </si>
  <si>
    <t xml:space="preserve">Vantagens de morar perto da universidade (tempo, segurança, rotina).</t>
  </si>
  <si>
    <t xml:space="preserve">Morar perto da UFSM muda a rotina.</t>
  </si>
  <si>
    <t xml:space="preserve">Localização</t>
  </si>
  <si>
    <t xml:space="preserve">Render + pin UFSM.</t>
  </si>
  <si>
    <t xml:space="preserve">Do lado da UFSM.</t>
  </si>
  <si>
    <t xml:space="preserve">Últimas unidades</t>
  </si>
  <si>
    <t xml:space="preserve">Tour pelos 2 apartamentos tipo disponíveis e pela cobertura.</t>
  </si>
  <si>
    <t xml:space="preserve">2 apartamentos tipo e a cobertura: as últimas oportunidades do Fiorello.</t>
  </si>
  <si>
    <t xml:space="preserve">Agende sua visita</t>
  </si>
  <si>
    <t xml:space="preserve">Pausar/atualizar se alguma unidade for vendida</t>
  </si>
  <si>
    <t xml:space="preserve">Urgência</t>
  </si>
  <si>
    <t xml:space="preserve">Foto + selo 'últimas unidades'.</t>
  </si>
  <si>
    <t xml:space="preserve">Últimas unidades: 2 apartamentos tipo e a cobertura.</t>
  </si>
  <si>
    <t xml:space="preserve">7 min do Recanto Maestro</t>
  </si>
  <si>
    <t xml:space="preserve">Trajeto de carro do loteamento até o Recanto Maestro com cronômetro na tela.</t>
  </si>
  <si>
    <t xml:space="preserve">A 7 minutos do Recanto Maestro.</t>
  </si>
  <si>
    <t xml:space="preserve">Foto aérea + selo de distância.</t>
  </si>
  <si>
    <t xml:space="preserve">3 jeitos de comprar</t>
  </si>
  <si>
    <t xml:space="preserve">Card financiamento Banrisul, card direto, card permuta.</t>
  </si>
  <si>
    <t xml:space="preserve">3 jeitos de comprar o seu apê.</t>
  </si>
  <si>
    <t xml:space="preserve">Simule seu financiamento no WhatsApp</t>
  </si>
  <si>
    <t xml:space="preserve">Pronto</t>
  </si>
  <si>
    <t xml:space="preserve">Foto da fachada.</t>
  </si>
  <si>
    <t xml:space="preserve">Pronto para morar em Lajeado.</t>
  </si>
  <si>
    <t xml:space="preserve">S02 · 19/10–23/10</t>
  </si>
  <si>
    <t xml:space="preserve">Localização premium</t>
  </si>
  <si>
    <t xml:space="preserve">Imagens de drone da Av. Medianeira e do entorno (comércio, serviços, acessos) chegando até o empreendimento.</t>
  </si>
  <si>
    <t xml:space="preserve">Morar na Medianeira, com o padrão que você sempre quis.</t>
  </si>
  <si>
    <t xml:space="preserve">5 motivos</t>
  </si>
  <si>
    <t xml:space="preserve">Card por argumento: preço de custo, Av. Medianeira, 124–245 m², padrão de acabamento, entrega em 20 meses.</t>
  </si>
  <si>
    <t xml:space="preserve">5 motivos para escolher o Mont'Santo.</t>
  </si>
  <si>
    <t xml:space="preserve">Condição facilitada</t>
  </si>
  <si>
    <t xml:space="preserve">Consultor mostra na tela: entrada a partir de R$ 10 mil (ou 10%) e saldo em até 40 meses.</t>
  </si>
  <si>
    <t xml:space="preserve">Seu apê com entrada de R$ 10 mil e 40 meses para pagar.</t>
  </si>
  <si>
    <t xml:space="preserve">Qual tipologia é a sua</t>
  </si>
  <si>
    <t xml:space="preserve">Um card por tipologia com perfil de morador.</t>
  </si>
  <si>
    <t xml:space="preserve">Studio, 1 ou 2 dorm: qual é o seu?</t>
  </si>
  <si>
    <t xml:space="preserve">Como pagar</t>
  </si>
  <si>
    <t xml:space="preserve">20% durante a obra → saldo financiado nas chaves, em cards simples.</t>
  </si>
  <si>
    <t xml:space="preserve">Pague 20% na obra e o saldo só nas chaves.</t>
  </si>
  <si>
    <t xml:space="preserve">Permuta</t>
  </si>
  <si>
    <t xml:space="preserve">Render + selo 'aceita permuta'.</t>
  </si>
  <si>
    <t xml:space="preserve">Aceitamos o seu bem como parte do pagamento.</t>
  </si>
  <si>
    <t xml:space="preserve">Confirmar bens aceitos em permuta</t>
  </si>
  <si>
    <t xml:space="preserve">Drone revelando o entorno e o skyline com o empreendimento em destaque.</t>
  </si>
  <si>
    <t xml:space="preserve">No centro de tudo. Acima de tudo.</t>
  </si>
  <si>
    <t xml:space="preserve">O que torna único</t>
  </si>
  <si>
    <t xml:space="preserve">5 cards com atributos exclusivos do projeto.</t>
  </si>
  <si>
    <t xml:space="preserve">Por que não existe outro Infinity.</t>
  </si>
  <si>
    <t xml:space="preserve">Perto da UFSM</t>
  </si>
  <si>
    <t xml:space="preserve">Trajeto do empreendimento até a UFSM com tempo na tela.</t>
  </si>
  <si>
    <t xml:space="preserve">Pertinho da UFSM e pronto para o início do ano.</t>
  </si>
  <si>
    <t xml:space="preserve">Comprar x alugar</t>
  </si>
  <si>
    <t xml:space="preserve">Comparativo para os pais: aluguel por 5 anos x parcela do imóvel.</t>
  </si>
  <si>
    <t xml:space="preserve">Aluguel ou patrimônio? Faça as contas.</t>
  </si>
  <si>
    <t xml:space="preserve">Unidades disponíveis</t>
  </si>
  <si>
    <t xml:space="preserve">Um card para cada apartamento tipo e um para a cobertura, com metragem e destaque.</t>
  </si>
  <si>
    <t xml:space="preserve">Conheça as unidades disponíveis, incluindo a cobertura.</t>
  </si>
  <si>
    <t xml:space="preserve">Foto + selo de permuta.</t>
  </si>
  <si>
    <t xml:space="preserve">Até 50% em permuta.</t>
  </si>
  <si>
    <t xml:space="preserve">Infraestrutura pronta</t>
  </si>
  <si>
    <t xml:space="preserve">Drone pelas ruas, calçamento e redes já executadas.</t>
  </si>
  <si>
    <t xml:space="preserve">Lotes com 95% da infraestrutura concluída.</t>
  </si>
  <si>
    <t xml:space="preserve">Por que investir</t>
  </si>
  <si>
    <t xml:space="preserve">Cards: turismo o ano todo, valorização da região, infraestrutura pronta.</t>
  </si>
  <si>
    <t xml:space="preserve">Por que investir perto do Recanto Maestro.</t>
  </si>
  <si>
    <t xml:space="preserve">Pronto para morar</t>
  </si>
  <si>
    <t xml:space="preserve">Tour pelo apartamento pronto em Lajeado.</t>
  </si>
  <si>
    <t xml:space="preserve">Tour fotográfico</t>
  </si>
  <si>
    <t xml:space="preserve">Fotos reais, ambiente por ambiente.</t>
  </si>
  <si>
    <t xml:space="preserve">Veja o Moradas do Lago por dentro.</t>
  </si>
  <si>
    <t xml:space="preserve">S03 · 26/10–30/10</t>
  </si>
  <si>
    <t xml:space="preserve">Como funciona o preço de custo</t>
  </si>
  <si>
    <t xml:space="preserve">Passo a passo simples da obra a preço de custo e por que o cliente paga o valor real da construção.</t>
  </si>
  <si>
    <t xml:space="preserve">Entenda por que o seu m² custa menos aqui.</t>
  </si>
  <si>
    <t xml:space="preserve">Foto aérea da Medianeira com selo do empreendimento.</t>
  </si>
  <si>
    <t xml:space="preserve">Avenida Medianeira. Alto padrão. Preço de custo.</t>
  </si>
  <si>
    <t xml:space="preserve">Localização estratégica</t>
  </si>
  <si>
    <t xml:space="preserve">Trajeto a pé do empreendimento até o Hospital de Caridade, com tempo na tela.</t>
  </si>
  <si>
    <t xml:space="preserve">A poucos passos do Hospital de Caridade.</t>
  </si>
  <si>
    <t xml:space="preserve">Render + pin no mapa.</t>
  </si>
  <si>
    <t xml:space="preserve">Ao lado do Hospital de Caridade.</t>
  </si>
  <si>
    <t xml:space="preserve">Formas de pagamento</t>
  </si>
  <si>
    <t xml:space="preserve">Consultor apresenta as opções: 20% durante a obra e saldo nas chaves, permuta e Plano Safra.</t>
  </si>
  <si>
    <t xml:space="preserve">4 jeitos de comprar o seu apartamento no Einstein.</t>
  </si>
  <si>
    <t xml:space="preserve">Status da obra</t>
  </si>
  <si>
    <t xml:space="preserve">Fotos atuais da obra em sequência.</t>
  </si>
  <si>
    <t xml:space="preserve">Veja como está o Einstein hoje.</t>
  </si>
  <si>
    <t xml:space="preserve">Arquitetura</t>
  </si>
  <si>
    <t xml:space="preserve">Cards com conceito do projeto e decisões arquitetônicas.</t>
  </si>
  <si>
    <t xml:space="preserve">Arquitetura que vira assinatura.</t>
  </si>
  <si>
    <t xml:space="preserve">Porte</t>
  </si>
  <si>
    <t xml:space="preserve">Fachada imponente.</t>
  </si>
  <si>
    <t xml:space="preserve">Infinity Residence. Um dos maiores do centro do estado.</t>
  </si>
  <si>
    <t xml:space="preserve">Pais de universitários</t>
  </si>
  <si>
    <t xml:space="preserve">Consultor fala com os pais: em vez de 5 anos de aluguel, um imóvel que fica na família.</t>
  </si>
  <si>
    <t xml:space="preserve">Em vez de pagar aluguel, invista no apê do seu filho.</t>
  </si>
  <si>
    <t xml:space="preserve">Entrega</t>
  </si>
  <si>
    <t xml:space="preserve">Render + selo de entrega.</t>
  </si>
  <si>
    <t xml:space="preserve">Pronto para o início do ano letivo.</t>
  </si>
  <si>
    <t xml:space="preserve">Permuta até 50%</t>
  </si>
  <si>
    <t xml:space="preserve">Consultor explica a permuta de até 50% do valor.</t>
  </si>
  <si>
    <t xml:space="preserve">Até 50% do valor em permuta.</t>
  </si>
  <si>
    <t xml:space="preserve">Como funciona a permuta</t>
  </si>
  <si>
    <t xml:space="preserve">Passo a passo da permuta de até 50%.</t>
  </si>
  <si>
    <t xml:space="preserve">Seu imóvel pode pagar metade do Fiorello.</t>
  </si>
  <si>
    <t xml:space="preserve">O que já está pronto</t>
  </si>
  <si>
    <t xml:space="preserve">Fotos da infraestrutura executada, item a item.</t>
  </si>
  <si>
    <t xml:space="preserve">95% concluído: veja o que já está pronto.</t>
  </si>
  <si>
    <t xml:space="preserve">Infraestrutura</t>
  </si>
  <si>
    <t xml:space="preserve">Foto das ruas prontas.</t>
  </si>
  <si>
    <t xml:space="preserve">Lotes com infraestrutura 95% concluída.</t>
  </si>
  <si>
    <t xml:space="preserve">Financiamento 100%</t>
  </si>
  <si>
    <t xml:space="preserve">Consultor explica o financiamento de até 100% pelo Banrisul.</t>
  </si>
  <si>
    <t xml:space="preserve">Financiamento de até 100% pelo Banrisul.</t>
  </si>
  <si>
    <t xml:space="preserve">Validar uso da marca Banrisul</t>
  </si>
  <si>
    <t xml:space="preserve">Financiamento</t>
  </si>
  <si>
    <t xml:space="preserve">Foto + selo Banrisul (validar uso da marca).</t>
  </si>
  <si>
    <t xml:space="preserve">Novembro</t>
  </si>
  <si>
    <t xml:space="preserve">S04 · 02/11–06/11</t>
  </si>
  <si>
    <t xml:space="preserve">Plantas de 124 a 245 m²</t>
  </si>
  <si>
    <t xml:space="preserve">Passeio em render 3D pelas plantas, da menor (124 m²) à maior (245 m²).</t>
  </si>
  <si>
    <t xml:space="preserve">De 124 a 245 m²: escolha o tamanho do seu alto padrão.</t>
  </si>
  <si>
    <t xml:space="preserve">Segurança da obra SPE</t>
  </si>
  <si>
    <t xml:space="preserve">Explica de forma simples o que é SPE e por que protege o comprador.</t>
  </si>
  <si>
    <t xml:space="preserve">Obra em SPE: mais segurança para o seu investimento.</t>
  </si>
  <si>
    <t xml:space="preserve">Plano Safra</t>
  </si>
  <si>
    <t xml:space="preserve">Vídeo direcionado ao produtor rural explicando como usar o Plano Safra na compra.</t>
  </si>
  <si>
    <t xml:space="preserve">Produtor rural: seu apartamento pode sair pelo Plano Safra.</t>
  </si>
  <si>
    <t xml:space="preserve">Validar regras do Plano Safra</t>
  </si>
  <si>
    <t xml:space="preserve">Áreas comuns</t>
  </si>
  <si>
    <t xml:space="preserve">Um card por ambiente de lazer.</t>
  </si>
  <si>
    <t xml:space="preserve">Lazer à altura de quem mora aqui.</t>
  </si>
  <si>
    <t xml:space="preserve">Investidor</t>
  </si>
  <si>
    <t xml:space="preserve">Consultor mostra a procura por aluguel na região no começo do ano letivo.</t>
  </si>
  <si>
    <t xml:space="preserve">Entrega justo quando a procura por aluguel dispara.</t>
  </si>
  <si>
    <t xml:space="preserve">Detalhes únicos</t>
  </si>
  <si>
    <t xml:space="preserve">Cards com os diferenciais de projeto e acabamento.</t>
  </si>
  <si>
    <t xml:space="preserve">Detalhes que não se repetem.</t>
  </si>
  <si>
    <t xml:space="preserve">Investidor do turismo</t>
  </si>
  <si>
    <t xml:space="preserve">Consultor fala do fluxo turístico o ano todo e do potencial de aluguel por temporada.</t>
  </si>
  <si>
    <t xml:space="preserve">Invista onde o turismo não para.</t>
  </si>
  <si>
    <t xml:space="preserve">Financiamento passo a passo</t>
  </si>
  <si>
    <t xml:space="preserve">Como funciona o financiamento de até 100% pelo Banrisul.</t>
  </si>
  <si>
    <t xml:space="preserve">Financiamento 100%: passo a passo.</t>
  </si>
  <si>
    <t xml:space="preserve">S05 · 09/11–13/11</t>
  </si>
  <si>
    <t xml:space="preserve">Plantas</t>
  </si>
  <si>
    <t xml:space="preserve">Um card por planta com metragem e destaque de cada uma.</t>
  </si>
  <si>
    <t xml:space="preserve">Qual planta combina com a sua família?</t>
  </si>
  <si>
    <t xml:space="preserve">Metragens</t>
  </si>
  <si>
    <t xml:space="preserve">Render de sala ampla + faixa de metragem.</t>
  </si>
  <si>
    <t xml:space="preserve">Apartamentos de 124 a 245 m². Entrega em 20 meses.</t>
  </si>
  <si>
    <t xml:space="preserve">Tipologias</t>
  </si>
  <si>
    <t xml:space="preserve">Tour rápido: studio, 1 e 2 dormitórios, mostrando o uso de cada espaço.</t>
  </si>
  <si>
    <t xml:space="preserve">Studio, 1 ou 2 dormitórios: tem o tamanho da sua fase.</t>
  </si>
  <si>
    <t xml:space="preserve">Parcela</t>
  </si>
  <si>
    <t xml:space="preserve">Destaque para o valor da parcela.</t>
  </si>
  <si>
    <t xml:space="preserve">Parcelas a partir de R$ 1 mil.</t>
  </si>
  <si>
    <t xml:space="preserve">Passo a passo de como funciona a compra pelo Plano Safra.</t>
  </si>
  <si>
    <t xml:space="preserve">Plano Safra: do campo para o seu apartamento.</t>
  </si>
  <si>
    <t xml:space="preserve">Peça com visual do campo + prédio.</t>
  </si>
  <si>
    <t xml:space="preserve">Quase pronto e aceita Plano Safra.</t>
  </si>
  <si>
    <t xml:space="preserve">Detalhes</t>
  </si>
  <si>
    <t xml:space="preserve">Closes em materiais, revestimentos e acabamentos.</t>
  </si>
  <si>
    <t xml:space="preserve">Feito nos detalhes, para quem não abre mão deles.</t>
  </si>
  <si>
    <t xml:space="preserve">Posicionamento</t>
  </si>
  <si>
    <t xml:space="preserve">Close de detalhe arquitetônico.</t>
  </si>
  <si>
    <t xml:space="preserve">Para poucos. Por definição.</t>
  </si>
  <si>
    <t xml:space="preserve">Investimento</t>
  </si>
  <si>
    <t xml:space="preserve">Perfil do inquilino e por que a demanda cresce no início do ano.</t>
  </si>
  <si>
    <t xml:space="preserve">Imóvel perto da universidade: aluguel garantido de procura.</t>
  </si>
  <si>
    <t xml:space="preserve">Pagamento</t>
  </si>
  <si>
    <t xml:space="preserve">Render + duas opções.</t>
  </si>
  <si>
    <t xml:space="preserve">Direto com a construtora ou financiado.</t>
  </si>
  <si>
    <t xml:space="preserve">Closes de acabamento e ambientes, estilo editorial.</t>
  </si>
  <si>
    <t xml:space="preserve">Pronto, exclusivo e para poucos.</t>
  </si>
  <si>
    <t xml:space="preserve">Cobertura</t>
  </si>
  <si>
    <t xml:space="preserve">Foto da cobertura em destaque.</t>
  </si>
  <si>
    <t xml:space="preserve">A cobertura do Fiorello está disponível.</t>
  </si>
  <si>
    <t xml:space="preserve">O que construir</t>
  </si>
  <si>
    <t xml:space="preserve">Ideias de uso: casa de campo, casa para alugar, moradia fixa.</t>
  </si>
  <si>
    <t xml:space="preserve">O que você vai construir no seu lote?</t>
  </si>
  <si>
    <t xml:space="preserve">Foto da região turística.</t>
  </si>
  <si>
    <t xml:space="preserve">Consultor mostra as 3 opções: financiamento, direto com a construtora e permuta.</t>
  </si>
  <si>
    <t xml:space="preserve">Do jeito mais confortável para você.</t>
  </si>
  <si>
    <t xml:space="preserve">Aceitamos análise de permuta.</t>
  </si>
  <si>
    <t xml:space="preserve">S06 · 16/11–20/11</t>
  </si>
  <si>
    <t xml:space="preserve">Evolução da obra</t>
  </si>
  <si>
    <t xml:space="preserve">Atualização da obra com cortes rápidos (estrutura, equipe, etapas) e lettering 'entrega em 20 meses'.</t>
  </si>
  <si>
    <t xml:space="preserve">Entrega em 20 meses. Acompanhe a obra de perto.</t>
  </si>
  <si>
    <t xml:space="preserve">Tudo perto</t>
  </si>
  <si>
    <t xml:space="preserve">Mapa com Hospital de Caridade, centro, faculdades e serviços.</t>
  </si>
  <si>
    <t xml:space="preserve">Localização que facilita a rotina.</t>
  </si>
  <si>
    <t xml:space="preserve">Consultor explica a permuta: o bem do cliente entra como parte do pagamento.</t>
  </si>
  <si>
    <t xml:space="preserve">O seu bem pode virar a entrada do seu apê.</t>
  </si>
  <si>
    <t xml:space="preserve">Mapa elegante com pontos de interesse e tempos de deslocamento.</t>
  </si>
  <si>
    <t xml:space="preserve">Tudo a minutos. Nada em excesso.</t>
  </si>
  <si>
    <t xml:space="preserve">Consultor explica: direto com a construtora ou financiamento.</t>
  </si>
  <si>
    <t xml:space="preserve">Pague direto com a construtora ou financie.</t>
  </si>
  <si>
    <t xml:space="preserve">Mapa e pontos de interesse.</t>
  </si>
  <si>
    <t xml:space="preserve">Endereço que combina com o produto.</t>
  </si>
  <si>
    <t xml:space="preserve">Qualidade de vida</t>
  </si>
  <si>
    <t xml:space="preserve">Natureza, tranquilidade e paisagem da 4ª Colônia.</t>
  </si>
  <si>
    <t xml:space="preserve">Viver bem perto de tudo o que a região oferece.</t>
  </si>
  <si>
    <t xml:space="preserve">Aluguel x parcela</t>
  </si>
  <si>
    <t xml:space="preserve">Comparativo visual.</t>
  </si>
  <si>
    <t xml:space="preserve">Troque o aluguel pela parcela do seu apê.</t>
  </si>
  <si>
    <t xml:space="preserve">S07 · 23/11–27/11</t>
  </si>
  <si>
    <t xml:space="preserve">Entorno</t>
  </si>
  <si>
    <t xml:space="preserve">Mapa da Medianeira com distâncias para escolas, mercados, hospitais e centro.</t>
  </si>
  <si>
    <t xml:space="preserve">Tudo o que você precisa, a poucos minutos.</t>
  </si>
  <si>
    <t xml:space="preserve">Consultor fala da procura por aluguel de profissionais da saúde e estudantes na região.</t>
  </si>
  <si>
    <t xml:space="preserve">Studio perto do hospital: procura por aluguel o ano todo.</t>
  </si>
  <si>
    <t xml:space="preserve">O que pode ser avaliado como permuta e como é feita a análise.</t>
  </si>
  <si>
    <t xml:space="preserve">Aceitamos permuta. Veja como funciona.</t>
  </si>
  <si>
    <t xml:space="preserve">Grandiosidade</t>
  </si>
  <si>
    <t xml:space="preserve">Imagens de escala: fachada, hall, áreas comuns.</t>
  </si>
  <si>
    <t xml:space="preserve">Um dos maiores empreendimentos do centro do estado.</t>
  </si>
  <si>
    <t xml:space="preserve">2 formas de pagar</t>
  </si>
  <si>
    <t xml:space="preserve">Card direto com a construtora x card financiamento.</t>
  </si>
  <si>
    <t xml:space="preserve">Escolha como pagar.</t>
  </si>
  <si>
    <t xml:space="preserve">Cenas de mudança/chaves na mão.</t>
  </si>
  <si>
    <t xml:space="preserve">Mude ainda este ano.</t>
  </si>
  <si>
    <t xml:space="preserve">Mapa da região</t>
  </si>
  <si>
    <t xml:space="preserve">Distâncias para Recanto Maestro, São João do Polêsine e pontos turísticos.</t>
  </si>
  <si>
    <t xml:space="preserve">Tudo perto, longe da correria.</t>
  </si>
  <si>
    <t xml:space="preserve">Imagens de Lajeado e do entorno do empreendimento.</t>
  </si>
  <si>
    <t xml:space="preserve">Viva bem em Lajeado.</t>
  </si>
  <si>
    <t xml:space="preserve">Dezembro</t>
  </si>
  <si>
    <t xml:space="preserve">S08 · 30/11–04/12</t>
  </si>
  <si>
    <t xml:space="preserve">Consultor compara comprar agora a preço de custo x comprar pronto: a valorização acontece até a entrega.</t>
  </si>
  <si>
    <t xml:space="preserve">Comece 2027 com um patrimônio que valoriza até a entrega.</t>
  </si>
  <si>
    <t xml:space="preserve">Render + selo 'últimas unidades'.</t>
  </si>
  <si>
    <t xml:space="preserve">Últimas unidades a preço de custo.</t>
  </si>
  <si>
    <t xml:space="preserve">Confirmar estoque antes de subir</t>
  </si>
  <si>
    <t xml:space="preserve">Comparativo visual entre pagar aluguel e pagar o próprio apê.</t>
  </si>
  <si>
    <t xml:space="preserve">Por que continuar pagando aluguel?</t>
  </si>
  <si>
    <t xml:space="preserve">Oferta</t>
  </si>
  <si>
    <t xml:space="preserve">Peça com selo 'condição de fim de ano'.</t>
  </si>
  <si>
    <t xml:space="preserve">Condição especial de fim de ano no Sync Floriano.</t>
  </si>
  <si>
    <t xml:space="preserve">Acabamentos</t>
  </si>
  <si>
    <t xml:space="preserve">Close nos detalhes de acabamento e no apartamento quase pronto.</t>
  </si>
  <si>
    <t xml:space="preserve">Veja de perto o padrão que você vai receber.</t>
  </si>
  <si>
    <t xml:space="preserve">Oferta de fim de ano</t>
  </si>
  <si>
    <t xml:space="preserve">Peça com selo de fim de ano.</t>
  </si>
  <si>
    <t xml:space="preserve">Feche em dezembro e pague só 20% até as chaves.</t>
  </si>
  <si>
    <t xml:space="preserve">Apresentação privada</t>
  </si>
  <si>
    <t xml:space="preserve">Convite elegante para uma visita exclusiva com hora marcada.</t>
  </si>
  <si>
    <t xml:space="preserve">Uma apresentação feita só para você.</t>
  </si>
  <si>
    <t xml:space="preserve">Convite</t>
  </si>
  <si>
    <t xml:space="preserve">Peça-convite com fundo escuro.</t>
  </si>
  <si>
    <t xml:space="preserve">Agende sua apresentação privada.</t>
  </si>
  <si>
    <t xml:space="preserve">Um card por planta com sugestão de uso (estudante, casal, investidor).</t>
  </si>
  <si>
    <t xml:space="preserve">Encontre a planta certa para você.</t>
  </si>
  <si>
    <t xml:space="preserve">Aprovação</t>
  </si>
  <si>
    <t xml:space="preserve">Peça para pais de aprovados.</t>
  </si>
  <si>
    <t xml:space="preserve">Aprovou? Garanta o apê antes das aulas.</t>
  </si>
  <si>
    <t xml:space="preserve">Natal</t>
  </si>
  <si>
    <t xml:space="preserve">Unidade decorada para o Natal.</t>
  </si>
  <si>
    <t xml:space="preserve">Passe o Natal no seu novo endereço.</t>
  </si>
  <si>
    <t xml:space="preserve">Foto da unidade com clima de fim de ano.</t>
  </si>
  <si>
    <t xml:space="preserve">Mude antes do Natal.</t>
  </si>
  <si>
    <t xml:space="preserve">Construir em 2027</t>
  </si>
  <si>
    <t xml:space="preserve">Imagens de casas/projetos de referência + lote vazio.</t>
  </si>
  <si>
    <t xml:space="preserve">Comece 2027 com o terreno da sua casa.</t>
  </si>
  <si>
    <t xml:space="preserve">Ano novo</t>
  </si>
  <si>
    <t xml:space="preserve">Peça de virada de ano com o loteamento.</t>
  </si>
  <si>
    <t xml:space="preserve">2027 começa no seu terreno.</t>
  </si>
  <si>
    <t xml:space="preserve">Um card por planta.</t>
  </si>
  <si>
    <t xml:space="preserve">Encontre a planta ideal.</t>
  </si>
  <si>
    <t xml:space="preserve">Peça de Natal.</t>
  </si>
  <si>
    <t xml:space="preserve">Natal na casa nova.</t>
  </si>
  <si>
    <t xml:space="preserve">S09 · 07/12–11/12</t>
  </si>
  <si>
    <t xml:space="preserve">Convite para visita à obra/stand com cenas de clientes visitando; lettering de urgência.</t>
  </si>
  <si>
    <t xml:space="preserve">Últimas unidades a preço de custo. Agende sua visita.</t>
  </si>
  <si>
    <t xml:space="preserve">Linha do tempo</t>
  </si>
  <si>
    <t xml:space="preserve">Etapas da obra até a entrega em 20 meses, com o que já foi feito.</t>
  </si>
  <si>
    <t xml:space="preserve">Da fundação às chaves: veja onde estamos.</t>
  </si>
  <si>
    <t xml:space="preserve">Simulação</t>
  </si>
  <si>
    <t xml:space="preserve">Tela de simulação: entrada + parcelas em torno de R$ 1 mil.</t>
  </si>
  <si>
    <t xml:space="preserve">Quanto fica o seu apê no Sync? A gente simula agora.</t>
  </si>
  <si>
    <t xml:space="preserve">Para investir</t>
  </si>
  <si>
    <t xml:space="preserve">Perfil do inquilino da região e vantagens do studio para renda.</t>
  </si>
  <si>
    <t xml:space="preserve">Studio é o investimento que trabalha por você.</t>
  </si>
  <si>
    <t xml:space="preserve">Plantas e diferenciais</t>
  </si>
  <si>
    <t xml:space="preserve">Um card por planta + diferenciais do prédio.</t>
  </si>
  <si>
    <t xml:space="preserve">Conheça os apartamentos do Einstein.</t>
  </si>
  <si>
    <t xml:space="preserve">Permuta fim de ano</t>
  </si>
  <si>
    <t xml:space="preserve">Peça de virada de ano.</t>
  </si>
  <si>
    <t xml:space="preserve">Troque o seu bem por um apê novo em 2027.</t>
  </si>
  <si>
    <t xml:space="preserve">Vista</t>
  </si>
  <si>
    <t xml:space="preserve">Pôr do sol/vista do alto do empreendimento.</t>
  </si>
  <si>
    <t xml:space="preserve">A vista que vai marcar os seus próximos anos.</t>
  </si>
  <si>
    <t xml:space="preserve">Plantas com destaque para amplitude e privacidade.</t>
  </si>
  <si>
    <t xml:space="preserve">Plantas pensadas para poucos.</t>
  </si>
  <si>
    <t xml:space="preserve">Tour pela obra/apartamento na reta final.</t>
  </si>
  <si>
    <t xml:space="preserve">Entrega no início de 2027. Garanta o seu.</t>
  </si>
  <si>
    <t xml:space="preserve">Checklist do calouro</t>
  </si>
  <si>
    <t xml:space="preserve">Lista do que avaliar ao escolher onde morar.</t>
  </si>
  <si>
    <t xml:space="preserve">Calouro: o que olhar antes de escolher onde morar.</t>
  </si>
  <si>
    <t xml:space="preserve">Pronto x planta</t>
  </si>
  <si>
    <t xml:space="preserve">Vantagens de comprar pronto: sem espera, sem risco de obra.</t>
  </si>
  <si>
    <t xml:space="preserve">Por que comprar pronto vale mais.</t>
  </si>
  <si>
    <t xml:space="preserve">Última chance</t>
  </si>
  <si>
    <t xml:space="preserve">Peça de urgência.</t>
  </si>
  <si>
    <t xml:space="preserve">Última chance no Fiorello.</t>
  </si>
  <si>
    <t xml:space="preserve">Consultor no lote</t>
  </si>
  <si>
    <t xml:space="preserve">Consultor no loteamento apresenta tamanhos e condições.</t>
  </si>
  <si>
    <t xml:space="preserve">Escolha o seu lote com quem conhece a região.</t>
  </si>
  <si>
    <t xml:space="preserve">Lotes disponíveis</t>
  </si>
  <si>
    <t xml:space="preserve">Mapa do loteamento com lotes disponíveis.</t>
  </si>
  <si>
    <t xml:space="preserve">Escolha o seu lote.</t>
  </si>
  <si>
    <t xml:space="preserve">Natal em casa nova</t>
  </si>
  <si>
    <t xml:space="preserve">Apartamento decorado para o Natal.</t>
  </si>
  <si>
    <t xml:space="preserve">Passe o Natal na sua casa nova.</t>
  </si>
  <si>
    <t xml:space="preserve">Mapa com pontos de interesse de Lajeado.</t>
  </si>
  <si>
    <t xml:space="preserve">Tudo perto em Lajeado.</t>
  </si>
  <si>
    <t xml:space="preserve">S10 · 14/12–18/12</t>
  </si>
  <si>
    <t xml:space="preserve">Perfil x planta</t>
  </si>
  <si>
    <t xml:space="preserve">Cards cruzando perfil (casal, família, quem recebe muito) com a planta ideal.</t>
  </si>
  <si>
    <t xml:space="preserve">Alto padrão do tamanho da sua vida.</t>
  </si>
  <si>
    <t xml:space="preserve">Fim de ano</t>
  </si>
  <si>
    <t xml:space="preserve">Peça de boas-festas com a fachada iluminada.</t>
  </si>
  <si>
    <t xml:space="preserve">Em 2027, o endereço mais desejado de Santa Maria.</t>
  </si>
  <si>
    <t xml:space="preserve">Antes x depois: comprovante de aluguel x parcela do próprio apê.</t>
  </si>
  <si>
    <t xml:space="preserve">Comece 2027 pagando o que é seu, não o aluguel.</t>
  </si>
  <si>
    <t xml:space="preserve">Ano novo, endereço novo.</t>
  </si>
  <si>
    <t xml:space="preserve">Cenas da obra finalizando + mensagem de virada de ano.</t>
  </si>
  <si>
    <t xml:space="preserve">Comece 2027 com a chave quase na mão.</t>
  </si>
  <si>
    <t xml:space="preserve">Perguntas frequentes</t>
  </si>
  <si>
    <t xml:space="preserve">Dúvidas sobre financiamento nas chaves, prazos e documentação.</t>
  </si>
  <si>
    <t xml:space="preserve">Financiamento nas chaves: tire suas dúvidas.</t>
  </si>
  <si>
    <t xml:space="preserve">Assinaturas</t>
  </si>
  <si>
    <t xml:space="preserve">Parceiros do projeto (arquitetura, paisagismo, interiores).</t>
  </si>
  <si>
    <t xml:space="preserve">Os nomes por trás de um projeto único.</t>
  </si>
  <si>
    <t xml:space="preserve">Confirmar nomes dos parceiros</t>
  </si>
  <si>
    <t xml:space="preserve">Peça de boas-festas sofisticada.</t>
  </si>
  <si>
    <t xml:space="preserve">2027 merece um endereço à altura.</t>
  </si>
  <si>
    <t xml:space="preserve">Aprovados</t>
  </si>
  <si>
    <t xml:space="preserve">Vídeo para época de resultados de vestibular/SISU.</t>
  </si>
  <si>
    <t xml:space="preserve">Passou na UFSM? O apê já está esperando.</t>
  </si>
  <si>
    <t xml:space="preserve">Presente</t>
  </si>
  <si>
    <t xml:space="preserve">Peça de fim de ano para os pais.</t>
  </si>
  <si>
    <t xml:space="preserve">O melhor presente de aprovação é um patrimônio.</t>
  </si>
  <si>
    <t xml:space="preserve">Última chamada</t>
  </si>
  <si>
    <t xml:space="preserve">Corte rápido dos 2 apartamentos tipo e da cobertura + urgência.</t>
  </si>
  <si>
    <t xml:space="preserve">Restam 2 apartamentos tipo e a cobertura.</t>
  </si>
  <si>
    <t xml:space="preserve">Fotos reais da unidade, ambiente por ambiente.</t>
  </si>
  <si>
    <t xml:space="preserve">Veja cada detalhe do Fiorello.</t>
  </si>
  <si>
    <t xml:space="preserve">Como comprar</t>
  </si>
  <si>
    <t xml:space="preserve">Passo a passo da compra do lote.</t>
  </si>
  <si>
    <t xml:space="preserve">Do primeiro contato à escritura.</t>
  </si>
  <si>
    <t xml:space="preserve">Região</t>
  </si>
  <si>
    <t xml:space="preserve">Paisagem da 4ª Colônia.</t>
  </si>
  <si>
    <t xml:space="preserve">Seu lote na 4ª Colônia.</t>
  </si>
  <si>
    <t xml:space="preserve">Rotina</t>
  </si>
  <si>
    <t xml:space="preserve">Cenas do dia a dia no condomínio.</t>
  </si>
  <si>
    <t xml:space="preserve">A rotina que você merece começa aqui.</t>
  </si>
  <si>
    <t xml:space="preserve">Peça de oferta de fim de ano.</t>
  </si>
  <si>
    <t xml:space="preserve">Condição de fim de ano: fale com a gente.</t>
  </si>
  <si>
    <t xml:space="preserve">FLUXO SEMANAL — peças que sobem por semana</t>
  </si>
  <si>
    <t xml:space="preserve">Distribuição pensada para não concentrar produção: ~5 a 6 vídeos por semana na carteira toda. Dias fixos: Ter = Mont'Santo e Sync · Qua = Einstein e Infinity · Qui = Amália e Fiorello · Sex = Primado e Moradas.</t>
  </si>
  <si>
    <t xml:space="preserve">Dia fixo</t>
  </si>
  <si>
    <t xml:space="preserve">Terça</t>
  </si>
  <si>
    <t xml:space="preserve">Quarta</t>
  </si>
  <si>
    <t xml:space="preserve">Quinta</t>
  </si>
  <si>
    <t xml:space="preserve">Sexta</t>
  </si>
  <si>
    <t xml:space="preserve">Total de peças na semana</t>
  </si>
  <si>
    <t xml:space="preserve">  · vídeos</t>
  </si>
  <si>
    <t xml:space="preserve">  · carrosséis</t>
  </si>
  <si>
    <t xml:space="preserve">  · estáticos</t>
  </si>
  <si>
    <t xml:space="preserve">POSICIONAMENTO POR EMPREENDIMENTO — base para as chamadas</t>
  </si>
  <si>
    <t xml:space="preserve">Produto / localização</t>
  </si>
  <si>
    <t xml:space="preserve">Argumentos-chave</t>
  </si>
  <si>
    <t xml:space="preserve">Condição comercial</t>
  </si>
  <si>
    <t xml:space="preserve">Tom de comunicação</t>
  </si>
  <si>
    <t xml:space="preserve">Público principal</t>
  </si>
  <si>
    <t xml:space="preserve">CTA padrão</t>
  </si>
  <si>
    <t xml:space="preserve">Validar antes de publicar</t>
  </si>
  <si>
    <t xml:space="preserve">Santa Maria · Av. Medianeira · alto padrão · apartamentos de 124 a 245 m²</t>
  </si>
  <si>
    <t xml:space="preserve">Obra a preço de custo; m² mais em conta da cidade no verdadeiro alto padrão; localização premium; entrega em 20 meses</t>
  </si>
  <si>
    <t xml:space="preserve">Obra a preço de custo (detalhar condição com a construtora)</t>
  </si>
  <si>
    <t xml:space="preserve">Sofisticado e direto, com argumento racional (preço/m²)</t>
  </si>
  <si>
    <t xml:space="preserve">Famílias e investidores de alto padrão de Santa Maria</t>
  </si>
  <si>
    <t xml:space="preserve">Confirmar como comunicar 'preço de custo' (regras da SPE) e o prazo de 20 meses</t>
  </si>
  <si>
    <t xml:space="preserve">Santa Maria · próximo ao Hospital de Caridade · studio, 1 e 2 dormitórios · obra em SPE</t>
  </si>
  <si>
    <t xml:space="preserve">Localização estratégica; condição flexível; tipologias compactas; segurança da SPE</t>
  </si>
  <si>
    <t xml:space="preserve">Até 40 meses; entrada de 10% ou a partir de R$ 10 mil; parcelas na faixa de R$ 1 mil (SUGESTÃO)</t>
  </si>
  <si>
    <t xml:space="preserve">Próximo e prático, focado em condição</t>
  </si>
  <si>
    <t xml:space="preserve">1º imóvel, profissionais da saúde, estudantes e investidores de aluguel</t>
  </si>
  <si>
    <t xml:space="preserve">Validar com a construtora a condição sugerida (entrada R$ 10 mil / parcelas ~R$ 1 mil) e o nome da construtora antes de publicar</t>
  </si>
  <si>
    <t xml:space="preserve">Muito próximo da entrega</t>
  </si>
  <si>
    <t xml:space="preserve">Quase pronto; várias formas de pagamento</t>
  </si>
  <si>
    <t xml:space="preserve">20% durante a obra e saldo financiado nas chaves; aceita permuta; aceita Plano Safra</t>
  </si>
  <si>
    <t xml:space="preserve">Consultivo, mostrando possibilidades</t>
  </si>
  <si>
    <t xml:space="preserve">Famílias, produtores rurais, quem tem bem para dar na troca</t>
  </si>
  <si>
    <t xml:space="preserve">Validar regras do Plano Safra para a compra, que bens entram na permuta e as unidades livres (há negociação de várias unidades em andamento)</t>
  </si>
  <si>
    <t xml:space="preserve">Altíssimo padrão · um dos maiores empreendimentos do centro do estado</t>
  </si>
  <si>
    <t xml:space="preserve">Exclusividade, localização, produto único</t>
  </si>
  <si>
    <t xml:space="preserve">NÃO comunicar condição nem preço</t>
  </si>
  <si>
    <t xml:space="preserve">Aspiracional, minimalista, cinematográfico</t>
  </si>
  <si>
    <t xml:space="preserve">Alta renda, empresários, quem busca um imóvel único</t>
  </si>
  <si>
    <t xml:space="preserve">Confirmar nomes de parceiros do projeto antes do carrossel 'Assinaturas'</t>
  </si>
  <si>
    <t xml:space="preserve">Próximo à UFSM · entrega no início do ano</t>
  </si>
  <si>
    <t xml:space="preserve">Localização perto da universidade; entrega no início do ano letivo; demanda de aluguel</t>
  </si>
  <si>
    <t xml:space="preserve">Fluxo direto com a construtora ou financiamento</t>
  </si>
  <si>
    <t xml:space="preserve">Informativo, falando com pais e investidores</t>
  </si>
  <si>
    <t xml:space="preserve">Pais de universitários, estudantes, investidores</t>
  </si>
  <si>
    <t xml:space="preserve">Confirmar mês de entrega e as condições do fluxo direto</t>
  </si>
  <si>
    <t xml:space="preserve">Pronto · 2 apartamentos tipo e a cobertura disponíveis</t>
  </si>
  <si>
    <t xml:space="preserve">Exclusividade, produto único, pronto para morar, escassez real</t>
  </si>
  <si>
    <t xml:space="preserve">Aceita até 50% em permuta</t>
  </si>
  <si>
    <t xml:space="preserve">Elegante e com urgência</t>
  </si>
  <si>
    <t xml:space="preserve">Alta renda, quem tem imóvel para dar na troca</t>
  </si>
  <si>
    <t xml:space="preserve">Atualizar as peças de estoque (2 apartamentos tipo e a cobertura) assim que alguma unidade for vendida</t>
  </si>
  <si>
    <t xml:space="preserve">Lotes · 7 min do Recanto Maestro · região da 4ª Colônia</t>
  </si>
  <si>
    <t xml:space="preserve">Polo turístico o ano todo; infraestrutura 95% concluída; qualidade de vida</t>
  </si>
  <si>
    <t xml:space="preserve">Detalhar com a construtora (tamanhos e condição dos lotes)</t>
  </si>
  <si>
    <t xml:space="preserve">Inspirador, natureza e investimento</t>
  </si>
  <si>
    <t xml:space="preserve">Investidores, quem quer casa de campo/temporada, moradores da região</t>
  </si>
  <si>
    <t xml:space="preserve">Confirmar tamanhos de lote, condição de pagamento e o percentual de 95%</t>
  </si>
  <si>
    <t xml:space="preserve">Lajeado · apartamentos prontos</t>
  </si>
  <si>
    <t xml:space="preserve">Pronto para morar; facilidade de compra</t>
  </si>
  <si>
    <t xml:space="preserve">Financiamento de até 100% pelo Banrisul; fluxo direto com a construtora; análise de permuta</t>
  </si>
  <si>
    <t xml:space="preserve">Acolhedor e prático</t>
  </si>
  <si>
    <t xml:space="preserve">Famílias e 1º imóvel em Lajeado</t>
  </si>
  <si>
    <t xml:space="preserve">Validar uso do nome/marca Banrisul nas peças e as regras do financiamento 100%</t>
  </si>
  <si>
    <t xml:space="preserve">PREMISSAS E REGRAS</t>
  </si>
  <si>
    <t xml:space="preserve">Parâmetro</t>
  </si>
  <si>
    <t xml:space="preserve">Valor</t>
  </si>
  <si>
    <t xml:space="preserve">Feriados considerados</t>
  </si>
  <si>
    <t xml:space="preserve">Data</t>
  </si>
  <si>
    <t xml:space="preserve">Prazo de aprovação (dias úteis antes de subir)</t>
  </si>
  <si>
    <t xml:space="preserve">N. Sra. Aparecida</t>
  </si>
  <si>
    <t xml:space="preserve">Finados</t>
  </si>
  <si>
    <t xml:space="preserve">Proclamação da República</t>
  </si>
  <si>
    <t xml:space="preserve">Consciência Negra</t>
  </si>
  <si>
    <t xml:space="preserve">N. Sra. da Conceição (ver local)</t>
  </si>
  <si>
    <t xml:space="preserve">Confraternização</t>
  </si>
  <si>
    <t xml:space="preserve">COMO USAR</t>
  </si>
  <si>
    <t xml:space="preserve">• Aba Calendário: lista completa de criativos com data, ideia e chamada. Atualize a coluna Status (lista suspensa) e o Responsável.</t>
  </si>
  <si>
    <t xml:space="preserve">• Resumo mensal e Fluxo semanal se atualizam sozinhos a partir do Calendário.</t>
  </si>
  <si>
    <t xml:space="preserve">• 'Aprovação até' = data de subida menos o prazo acima (dias úteis). Altere o prazo na célula amarela.</t>
  </si>
  <si>
    <t xml:space="preserve">• Outubro começa na semana de 12/10 (primeira entrega de aprovação em 08/10).</t>
  </si>
  <si>
    <t xml:space="preserve">LÓGICA DO MIX (por projeto)</t>
  </si>
  <si>
    <t xml:space="preserve">• Outubro: 2 vídeos · 2 carrosséis · 2 estáticos = 6  → apresentar o principal argumento de cada empreendimento.</t>
  </si>
  <si>
    <t xml:space="preserve">• Novembro: 2 vídeos · 2 carrosséis · 1 estático = 5  → aprofundar produto, condição e prova; escalar o que performou em outubro.</t>
  </si>
  <si>
    <t xml:space="preserve">• Dezembro: 2 vídeos · 2 carrosséis · 2 estáticos = 6  → oferta de fim de ano, urgência e 'comece 2027'.</t>
  </si>
  <si>
    <t xml:space="preserve">• Vídeos: Reels/Stories 9:16 (15–30s) + versão 4:5 para feed. Carrossel: 3 a 6 cards. Estático: 1:1 ou 4:5.</t>
  </si>
  <si>
    <t xml:space="preserve">REGRAS DE GESTÃO</t>
  </si>
  <si>
    <t xml:space="preserve">• Criativos vencedores continuam no ar; os números do calendário são só peças NOVAS.</t>
  </si>
  <si>
    <t xml:space="preserve">• Pausar peça com custo por lead 30% acima da média do projeto após ~7 dias.</t>
  </si>
  <si>
    <t xml:space="preserve">• Trocar criativo quando a frequência passar de 3 no público frio.</t>
  </si>
  <si>
    <t xml:space="preserve">• Infinity Residence: nunca citar preço ou condição. Fiorello: atualizar as peças de estoque assim que alguma unidade for vendida.</t>
  </si>
  <si>
    <t xml:space="preserve">• Chamadas com valores (Sync, Einstein, Moradas) só sobem depois de validadas com a construtora — ver coluna Observações.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</si>
</sst>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1B2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1C1C1C"/>
      <name val="Arial"/>
      <family val="0"/>
      <charset val="1"/>
    </font>
    <font>
      <b val="true"/>
      <sz val="11"/>
      <color rgb="FF0D1B2A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C1C1C"/>
      <name val="Arial"/>
      <family val="0"/>
      <charset val="1"/>
    </font>
    <font>
      <b val="true"/>
      <sz val="9"/>
      <color rgb="FF0D1B2A"/>
      <name val="Arial"/>
      <family val="0"/>
      <charset val="1"/>
    </font>
    <font>
      <b val="true"/>
      <sz val="9"/>
      <color rgb="FF1C1C1C"/>
      <name val="Arial"/>
      <family val="0"/>
      <charset val="1"/>
    </font>
    <font>
      <i val="true"/>
      <sz val="9"/>
      <color rgb="FF9C57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D1B2A"/>
      <name val="Arial"/>
      <family val="0"/>
      <charset val="1"/>
    </font>
    <font>
      <sz val="10"/>
      <color rgb="FF1C1C1C"/>
      <name val="Arial"/>
      <family val="0"/>
      <charset val="1"/>
    </font>
    <font>
      <b val="true"/>
      <sz val="10"/>
      <color rgb="FF1C1C1C"/>
      <name val="Arial"/>
      <family val="0"/>
      <charset val="1"/>
    </font>
    <font>
      <sz val="9"/>
      <color rgb="FF9C5700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D1B2A"/>
        <bgColor rgb="FF1C1C1C"/>
      </patternFill>
    </fill>
    <fill>
      <patternFill patternType="solid">
        <fgColor rgb="FFD8C6A5"/>
        <bgColor rgb="FFD0D0D0"/>
      </patternFill>
    </fill>
    <fill>
      <patternFill patternType="solid">
        <fgColor rgb="FFB08D57"/>
        <bgColor rgb="FF808080"/>
      </patternFill>
    </fill>
    <fill>
      <patternFill patternType="solid">
        <fgColor rgb="FFF5F2EB"/>
        <bgColor rgb="FFEFEFEF"/>
      </patternFill>
    </fill>
    <fill>
      <patternFill patternType="solid">
        <fgColor rgb="FFE8DCC6"/>
        <bgColor rgb="FFF4CCCC"/>
      </patternFill>
    </fill>
    <fill>
      <patternFill patternType="solid">
        <fgColor rgb="FFFFF9E6"/>
        <bgColor rgb="FFF5F2EB"/>
      </patternFill>
    </fill>
    <fill>
      <patternFill patternType="solid">
        <fgColor rgb="FFEFEFEF"/>
        <bgColor rgb="FFF5F2EB"/>
      </patternFill>
    </fill>
    <fill>
      <patternFill patternType="solid">
        <fgColor rgb="FFDCE3EC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D1B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C1C1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3EC"/>
          <bgColor rgb="FF000000"/>
        </patternFill>
      </fill>
    </dxf>
    <dxf>
      <fill>
        <patternFill patternType="solid">
          <fgColor rgb="FFE8DCC6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DCE3EC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6A5"/>
      <rgbColor rgb="FF808080"/>
      <rgbColor rgb="FF9999FF"/>
      <rgbColor rgb="FF993366"/>
      <rgbColor rgb="FFFFF9E6"/>
      <rgbColor rgb="FFEFEFE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3EC"/>
      <rgbColor rgb="FFD9EAD3"/>
      <rgbColor rgb="FFF5F2EB"/>
      <rgbColor rgb="FFE8DCC6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B08D57"/>
      <rgbColor rgb="FF003366"/>
      <rgbColor rgb="FF339966"/>
      <rgbColor rgb="FF0D1B2A"/>
      <rgbColor rgb="FF333300"/>
      <rgbColor rgb="FF9C5700"/>
      <rgbColor rgb="FF993366"/>
      <rgbColor rgb="FF333399"/>
      <rgbColor rgb="FF1C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7" min="2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3" t="s">
        <v>3</v>
      </c>
      <c r="C4" s="3"/>
      <c r="D4" s="3"/>
      <c r="E4" s="3"/>
      <c r="F4" s="3" t="s">
        <v>4</v>
      </c>
      <c r="G4" s="3"/>
      <c r="H4" s="3"/>
      <c r="I4" s="3"/>
      <c r="J4" s="3" t="s">
        <v>5</v>
      </c>
      <c r="K4" s="3"/>
      <c r="L4" s="3"/>
      <c r="M4" s="3"/>
      <c r="N4" s="3" t="s">
        <v>6</v>
      </c>
      <c r="O4" s="3"/>
      <c r="P4" s="3"/>
      <c r="Q4" s="3"/>
    </row>
    <row r="5" customFormat="false" ht="30" hidden="false" customHeight="true" outlineLevel="0" collapsed="false">
      <c r="A5" s="3"/>
      <c r="B5" s="4" t="s">
        <v>7</v>
      </c>
      <c r="C5" s="4"/>
      <c r="D5" s="4"/>
      <c r="E5" s="4"/>
      <c r="F5" s="4" t="s">
        <v>8</v>
      </c>
      <c r="G5" s="4"/>
      <c r="H5" s="4"/>
      <c r="I5" s="4"/>
      <c r="J5" s="4" t="s">
        <v>9</v>
      </c>
      <c r="K5" s="4"/>
      <c r="L5" s="4"/>
      <c r="M5" s="4"/>
      <c r="N5" s="4" t="s">
        <v>10</v>
      </c>
      <c r="O5" s="4"/>
      <c r="P5" s="4"/>
      <c r="Q5" s="4"/>
    </row>
    <row r="6" customFormat="false" ht="15" hidden="false" customHeight="false" outlineLevel="0" collapsed="false">
      <c r="A6" s="3"/>
      <c r="B6" s="5" t="s">
        <v>11</v>
      </c>
      <c r="C6" s="5" t="s">
        <v>12</v>
      </c>
      <c r="D6" s="5" t="s">
        <v>13</v>
      </c>
      <c r="E6" s="5" t="s">
        <v>14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11</v>
      </c>
      <c r="K6" s="5" t="s">
        <v>12</v>
      </c>
      <c r="L6" s="5" t="s">
        <v>13</v>
      </c>
      <c r="M6" s="5" t="s">
        <v>14</v>
      </c>
      <c r="N6" s="5" t="s">
        <v>11</v>
      </c>
      <c r="O6" s="5" t="s">
        <v>12</v>
      </c>
      <c r="P6" s="5" t="s">
        <v>13</v>
      </c>
      <c r="Q6" s="5" t="s">
        <v>14</v>
      </c>
    </row>
    <row r="7" customFormat="false" ht="15" hidden="false" customHeight="false" outlineLevel="0" collapsed="false">
      <c r="A7" s="6" t="s">
        <v>15</v>
      </c>
      <c r="B7" s="7" t="n">
        <f aca="false">COUNTIFS(Calendário!$F:$F,$A7,Calendário!$B:$B,"Outubro",Calendário!$G:$G,"Vídeo")</f>
        <v>2</v>
      </c>
      <c r="C7" s="7" t="n">
        <f aca="false">COUNTIFS(Calendário!$F:$F,$A7,Calendário!$B:$B,"Outubro",Calendário!$G:$G,"Carrossel")</f>
        <v>2</v>
      </c>
      <c r="D7" s="7" t="n">
        <f aca="false">COUNTIFS(Calendário!$F:$F,$A7,Calendário!$B:$B,"Outubro",Calendário!$G:$G,"Estático")</f>
        <v>2</v>
      </c>
      <c r="E7" s="8" t="n">
        <f aca="false">SUM(B7:D7)</f>
        <v>6</v>
      </c>
      <c r="F7" s="7" t="n">
        <f aca="false">COUNTIFS(Calendário!$F:$F,$A7,Calendário!$B:$B,"Novembro",Calendário!$G:$G,"Vídeo")</f>
        <v>2</v>
      </c>
      <c r="G7" s="7" t="n">
        <f aca="false">COUNTIFS(Calendário!$F:$F,$A7,Calendário!$B:$B,"Novembro",Calendário!$G:$G,"Carrossel")</f>
        <v>2</v>
      </c>
      <c r="H7" s="7" t="n">
        <f aca="false">COUNTIFS(Calendário!$F:$F,$A7,Calendário!$B:$B,"Novembro",Calendário!$G:$G,"Estático")</f>
        <v>1</v>
      </c>
      <c r="I7" s="8" t="n">
        <f aca="false">SUM(F7:H7)</f>
        <v>5</v>
      </c>
      <c r="J7" s="7" t="n">
        <f aca="false">COUNTIFS(Calendário!$F:$F,$A7,Calendário!$B:$B,"Dezembro",Calendário!$G:$G,"Vídeo")</f>
        <v>2</v>
      </c>
      <c r="K7" s="7" t="n">
        <f aca="false">COUNTIFS(Calendário!$F:$F,$A7,Calendário!$B:$B,"Dezembro",Calendário!$G:$G,"Carrossel")</f>
        <v>2</v>
      </c>
      <c r="L7" s="7" t="n">
        <f aca="false">COUNTIFS(Calendário!$F:$F,$A7,Calendário!$B:$B,"Dezembro",Calendário!$G:$G,"Estático")</f>
        <v>2</v>
      </c>
      <c r="M7" s="8" t="n">
        <f aca="false">SUM(J7:L7)</f>
        <v>6</v>
      </c>
      <c r="N7" s="7" t="n">
        <f aca="false">B7+F7+J7</f>
        <v>6</v>
      </c>
      <c r="O7" s="7" t="n">
        <f aca="false">C7+G7+K7</f>
        <v>6</v>
      </c>
      <c r="P7" s="7" t="n">
        <f aca="false">D7+H7+L7</f>
        <v>5</v>
      </c>
      <c r="Q7" s="8" t="n">
        <f aca="false">SUM(N7:P7)</f>
        <v>17</v>
      </c>
    </row>
    <row r="8" customFormat="false" ht="15" hidden="false" customHeight="false" outlineLevel="0" collapsed="false">
      <c r="A8" s="9" t="s">
        <v>16</v>
      </c>
      <c r="B8" s="10" t="n">
        <f aca="false">COUNTIFS(Calendário!$F:$F,$A8,Calendário!$B:$B,"Outubro",Calendário!$G:$G,"Vídeo")</f>
        <v>2</v>
      </c>
      <c r="C8" s="10" t="n">
        <f aca="false">COUNTIFS(Calendário!$F:$F,$A8,Calendário!$B:$B,"Outubro",Calendário!$G:$G,"Carrossel")</f>
        <v>2</v>
      </c>
      <c r="D8" s="10" t="n">
        <f aca="false">COUNTIFS(Calendário!$F:$F,$A8,Calendário!$B:$B,"Outubro",Calendário!$G:$G,"Estático")</f>
        <v>2</v>
      </c>
      <c r="E8" s="11" t="n">
        <f aca="false">SUM(B8:D8)</f>
        <v>6</v>
      </c>
      <c r="F8" s="10" t="n">
        <f aca="false">COUNTIFS(Calendário!$F:$F,$A8,Calendário!$B:$B,"Novembro",Calendário!$G:$G,"Vídeo")</f>
        <v>2</v>
      </c>
      <c r="G8" s="10" t="n">
        <f aca="false">COUNTIFS(Calendário!$F:$F,$A8,Calendário!$B:$B,"Novembro",Calendário!$G:$G,"Carrossel")</f>
        <v>2</v>
      </c>
      <c r="H8" s="10" t="n">
        <f aca="false">COUNTIFS(Calendário!$F:$F,$A8,Calendário!$B:$B,"Novembro",Calendário!$G:$G,"Estático")</f>
        <v>1</v>
      </c>
      <c r="I8" s="11" t="n">
        <f aca="false">SUM(F8:H8)</f>
        <v>5</v>
      </c>
      <c r="J8" s="10" t="n">
        <f aca="false">COUNTIFS(Calendário!$F:$F,$A8,Calendário!$B:$B,"Dezembro",Calendário!$G:$G,"Vídeo")</f>
        <v>2</v>
      </c>
      <c r="K8" s="10" t="n">
        <f aca="false">COUNTIFS(Calendário!$F:$F,$A8,Calendário!$B:$B,"Dezembro",Calendário!$G:$G,"Carrossel")</f>
        <v>2</v>
      </c>
      <c r="L8" s="10" t="n">
        <f aca="false">COUNTIFS(Calendário!$F:$F,$A8,Calendário!$B:$B,"Dezembro",Calendário!$G:$G,"Estático")</f>
        <v>2</v>
      </c>
      <c r="M8" s="11" t="n">
        <f aca="false">SUM(J8:L8)</f>
        <v>6</v>
      </c>
      <c r="N8" s="10" t="n">
        <f aca="false">B8+F8+J8</f>
        <v>6</v>
      </c>
      <c r="O8" s="10" t="n">
        <f aca="false">C8+G8+K8</f>
        <v>6</v>
      </c>
      <c r="P8" s="10" t="n">
        <f aca="false">D8+H8+L8</f>
        <v>5</v>
      </c>
      <c r="Q8" s="11" t="n">
        <f aca="false">SUM(N8:P8)</f>
        <v>17</v>
      </c>
    </row>
    <row r="9" customFormat="false" ht="15" hidden="false" customHeight="false" outlineLevel="0" collapsed="false">
      <c r="A9" s="6" t="s">
        <v>17</v>
      </c>
      <c r="B9" s="7" t="n">
        <f aca="false">COUNTIFS(Calendário!$F:$F,$A9,Calendário!$B:$B,"Outubro",Calendário!$G:$G,"Vídeo")</f>
        <v>2</v>
      </c>
      <c r="C9" s="7" t="n">
        <f aca="false">COUNTIFS(Calendário!$F:$F,$A9,Calendário!$B:$B,"Outubro",Calendário!$G:$G,"Carrossel")</f>
        <v>2</v>
      </c>
      <c r="D9" s="7" t="n">
        <f aca="false">COUNTIFS(Calendário!$F:$F,$A9,Calendário!$B:$B,"Outubro",Calendário!$G:$G,"Estático")</f>
        <v>2</v>
      </c>
      <c r="E9" s="8" t="n">
        <f aca="false">SUM(B9:D9)</f>
        <v>6</v>
      </c>
      <c r="F9" s="7" t="n">
        <f aca="false">COUNTIFS(Calendário!$F:$F,$A9,Calendário!$B:$B,"Novembro",Calendário!$G:$G,"Vídeo")</f>
        <v>2</v>
      </c>
      <c r="G9" s="7" t="n">
        <f aca="false">COUNTIFS(Calendário!$F:$F,$A9,Calendário!$B:$B,"Novembro",Calendário!$G:$G,"Carrossel")</f>
        <v>2</v>
      </c>
      <c r="H9" s="7" t="n">
        <f aca="false">COUNTIFS(Calendário!$F:$F,$A9,Calendário!$B:$B,"Novembro",Calendário!$G:$G,"Estático")</f>
        <v>1</v>
      </c>
      <c r="I9" s="8" t="n">
        <f aca="false">SUM(F9:H9)</f>
        <v>5</v>
      </c>
      <c r="J9" s="7" t="n">
        <f aca="false">COUNTIFS(Calendário!$F:$F,$A9,Calendário!$B:$B,"Dezembro",Calendário!$G:$G,"Vídeo")</f>
        <v>2</v>
      </c>
      <c r="K9" s="7" t="n">
        <f aca="false">COUNTIFS(Calendário!$F:$F,$A9,Calendário!$B:$B,"Dezembro",Calendário!$G:$G,"Carrossel")</f>
        <v>2</v>
      </c>
      <c r="L9" s="7" t="n">
        <f aca="false">COUNTIFS(Calendário!$F:$F,$A9,Calendário!$B:$B,"Dezembro",Calendário!$G:$G,"Estático")</f>
        <v>2</v>
      </c>
      <c r="M9" s="8" t="n">
        <f aca="false">SUM(J9:L9)</f>
        <v>6</v>
      </c>
      <c r="N9" s="7" t="n">
        <f aca="false">B9+F9+J9</f>
        <v>6</v>
      </c>
      <c r="O9" s="7" t="n">
        <f aca="false">C9+G9+K9</f>
        <v>6</v>
      </c>
      <c r="P9" s="7" t="n">
        <f aca="false">D9+H9+L9</f>
        <v>5</v>
      </c>
      <c r="Q9" s="8" t="n">
        <f aca="false">SUM(N9:P9)</f>
        <v>17</v>
      </c>
    </row>
    <row r="10" customFormat="false" ht="15" hidden="false" customHeight="false" outlineLevel="0" collapsed="false">
      <c r="A10" s="9" t="s">
        <v>18</v>
      </c>
      <c r="B10" s="10" t="n">
        <f aca="false">COUNTIFS(Calendário!$F:$F,$A10,Calendário!$B:$B,"Outubro",Calendário!$G:$G,"Vídeo")</f>
        <v>2</v>
      </c>
      <c r="C10" s="10" t="n">
        <f aca="false">COUNTIFS(Calendário!$F:$F,$A10,Calendário!$B:$B,"Outubro",Calendário!$G:$G,"Carrossel")</f>
        <v>2</v>
      </c>
      <c r="D10" s="10" t="n">
        <f aca="false">COUNTIFS(Calendário!$F:$F,$A10,Calendário!$B:$B,"Outubro",Calendário!$G:$G,"Estático")</f>
        <v>2</v>
      </c>
      <c r="E10" s="11" t="n">
        <f aca="false">SUM(B10:D10)</f>
        <v>6</v>
      </c>
      <c r="F10" s="10" t="n">
        <f aca="false">COUNTIFS(Calendário!$F:$F,$A10,Calendário!$B:$B,"Novembro",Calendário!$G:$G,"Vídeo")</f>
        <v>2</v>
      </c>
      <c r="G10" s="10" t="n">
        <f aca="false">COUNTIFS(Calendário!$F:$F,$A10,Calendário!$B:$B,"Novembro",Calendário!$G:$G,"Carrossel")</f>
        <v>2</v>
      </c>
      <c r="H10" s="10" t="n">
        <f aca="false">COUNTIFS(Calendário!$F:$F,$A10,Calendário!$B:$B,"Novembro",Calendário!$G:$G,"Estático")</f>
        <v>1</v>
      </c>
      <c r="I10" s="11" t="n">
        <f aca="false">SUM(F10:H10)</f>
        <v>5</v>
      </c>
      <c r="J10" s="10" t="n">
        <f aca="false">COUNTIFS(Calendário!$F:$F,$A10,Calendário!$B:$B,"Dezembro",Calendário!$G:$G,"Vídeo")</f>
        <v>2</v>
      </c>
      <c r="K10" s="10" t="n">
        <f aca="false">COUNTIFS(Calendário!$F:$F,$A10,Calendário!$B:$B,"Dezembro",Calendário!$G:$G,"Carrossel")</f>
        <v>2</v>
      </c>
      <c r="L10" s="10" t="n">
        <f aca="false">COUNTIFS(Calendário!$F:$F,$A10,Calendário!$B:$B,"Dezembro",Calendário!$G:$G,"Estático")</f>
        <v>2</v>
      </c>
      <c r="M10" s="11" t="n">
        <f aca="false">SUM(J10:L10)</f>
        <v>6</v>
      </c>
      <c r="N10" s="10" t="n">
        <f aca="false">B10+F10+J10</f>
        <v>6</v>
      </c>
      <c r="O10" s="10" t="n">
        <f aca="false">C10+G10+K10</f>
        <v>6</v>
      </c>
      <c r="P10" s="10" t="n">
        <f aca="false">D10+H10+L10</f>
        <v>5</v>
      </c>
      <c r="Q10" s="11" t="n">
        <f aca="false">SUM(N10:P10)</f>
        <v>17</v>
      </c>
    </row>
    <row r="11" customFormat="false" ht="15" hidden="false" customHeight="false" outlineLevel="0" collapsed="false">
      <c r="A11" s="6" t="s">
        <v>19</v>
      </c>
      <c r="B11" s="7" t="n">
        <f aca="false">COUNTIFS(Calendário!$F:$F,$A11,Calendário!$B:$B,"Outubro",Calendário!$G:$G,"Vídeo")</f>
        <v>2</v>
      </c>
      <c r="C11" s="7" t="n">
        <f aca="false">COUNTIFS(Calendário!$F:$F,$A11,Calendário!$B:$B,"Outubro",Calendário!$G:$G,"Carrossel")</f>
        <v>2</v>
      </c>
      <c r="D11" s="7" t="n">
        <f aca="false">COUNTIFS(Calendário!$F:$F,$A11,Calendário!$B:$B,"Outubro",Calendário!$G:$G,"Estático")</f>
        <v>2</v>
      </c>
      <c r="E11" s="8" t="n">
        <f aca="false">SUM(B11:D11)</f>
        <v>6</v>
      </c>
      <c r="F11" s="7" t="n">
        <f aca="false">COUNTIFS(Calendário!$F:$F,$A11,Calendário!$B:$B,"Novembro",Calendário!$G:$G,"Vídeo")</f>
        <v>2</v>
      </c>
      <c r="G11" s="7" t="n">
        <f aca="false">COUNTIFS(Calendário!$F:$F,$A11,Calendário!$B:$B,"Novembro",Calendário!$G:$G,"Carrossel")</f>
        <v>2</v>
      </c>
      <c r="H11" s="7" t="n">
        <f aca="false">COUNTIFS(Calendário!$F:$F,$A11,Calendário!$B:$B,"Novembro",Calendário!$G:$G,"Estático")</f>
        <v>1</v>
      </c>
      <c r="I11" s="8" t="n">
        <f aca="false">SUM(F11:H11)</f>
        <v>5</v>
      </c>
      <c r="J11" s="7" t="n">
        <f aca="false">COUNTIFS(Calendário!$F:$F,$A11,Calendário!$B:$B,"Dezembro",Calendário!$G:$G,"Vídeo")</f>
        <v>2</v>
      </c>
      <c r="K11" s="7" t="n">
        <f aca="false">COUNTIFS(Calendário!$F:$F,$A11,Calendário!$B:$B,"Dezembro",Calendário!$G:$G,"Carrossel")</f>
        <v>2</v>
      </c>
      <c r="L11" s="7" t="n">
        <f aca="false">COUNTIFS(Calendário!$F:$F,$A11,Calendário!$B:$B,"Dezembro",Calendário!$G:$G,"Estático")</f>
        <v>2</v>
      </c>
      <c r="M11" s="8" t="n">
        <f aca="false">SUM(J11:L11)</f>
        <v>6</v>
      </c>
      <c r="N11" s="7" t="n">
        <f aca="false">B11+F11+J11</f>
        <v>6</v>
      </c>
      <c r="O11" s="7" t="n">
        <f aca="false">C11+G11+K11</f>
        <v>6</v>
      </c>
      <c r="P11" s="7" t="n">
        <f aca="false">D11+H11+L11</f>
        <v>5</v>
      </c>
      <c r="Q11" s="8" t="n">
        <f aca="false">SUM(N11:P11)</f>
        <v>17</v>
      </c>
    </row>
    <row r="12" customFormat="false" ht="15" hidden="false" customHeight="false" outlineLevel="0" collapsed="false">
      <c r="A12" s="9" t="s">
        <v>20</v>
      </c>
      <c r="B12" s="10" t="n">
        <f aca="false">COUNTIFS(Calendário!$F:$F,$A12,Calendário!$B:$B,"Outubro",Calendário!$G:$G,"Vídeo")</f>
        <v>2</v>
      </c>
      <c r="C12" s="10" t="n">
        <f aca="false">COUNTIFS(Calendário!$F:$F,$A12,Calendário!$B:$B,"Outubro",Calendário!$G:$G,"Carrossel")</f>
        <v>2</v>
      </c>
      <c r="D12" s="10" t="n">
        <f aca="false">COUNTIFS(Calendário!$F:$F,$A12,Calendário!$B:$B,"Outubro",Calendário!$G:$G,"Estático")</f>
        <v>2</v>
      </c>
      <c r="E12" s="11" t="n">
        <f aca="false">SUM(B12:D12)</f>
        <v>6</v>
      </c>
      <c r="F12" s="10" t="n">
        <f aca="false">COUNTIFS(Calendário!$F:$F,$A12,Calendário!$B:$B,"Novembro",Calendário!$G:$G,"Vídeo")</f>
        <v>2</v>
      </c>
      <c r="G12" s="10" t="n">
        <f aca="false">COUNTIFS(Calendário!$F:$F,$A12,Calendário!$B:$B,"Novembro",Calendário!$G:$G,"Carrossel")</f>
        <v>2</v>
      </c>
      <c r="H12" s="10" t="n">
        <f aca="false">COUNTIFS(Calendário!$F:$F,$A12,Calendário!$B:$B,"Novembro",Calendário!$G:$G,"Estático")</f>
        <v>1</v>
      </c>
      <c r="I12" s="11" t="n">
        <f aca="false">SUM(F12:H12)</f>
        <v>5</v>
      </c>
      <c r="J12" s="10" t="n">
        <f aca="false">COUNTIFS(Calendário!$F:$F,$A12,Calendário!$B:$B,"Dezembro",Calendário!$G:$G,"Vídeo")</f>
        <v>2</v>
      </c>
      <c r="K12" s="10" t="n">
        <f aca="false">COUNTIFS(Calendário!$F:$F,$A12,Calendário!$B:$B,"Dezembro",Calendário!$G:$G,"Carrossel")</f>
        <v>2</v>
      </c>
      <c r="L12" s="10" t="n">
        <f aca="false">COUNTIFS(Calendário!$F:$F,$A12,Calendário!$B:$B,"Dezembro",Calendário!$G:$G,"Estático")</f>
        <v>2</v>
      </c>
      <c r="M12" s="11" t="n">
        <f aca="false">SUM(J12:L12)</f>
        <v>6</v>
      </c>
      <c r="N12" s="10" t="n">
        <f aca="false">B12+F12+J12</f>
        <v>6</v>
      </c>
      <c r="O12" s="10" t="n">
        <f aca="false">C12+G12+K12</f>
        <v>6</v>
      </c>
      <c r="P12" s="10" t="n">
        <f aca="false">D12+H12+L12</f>
        <v>5</v>
      </c>
      <c r="Q12" s="11" t="n">
        <f aca="false">SUM(N12:P12)</f>
        <v>17</v>
      </c>
    </row>
    <row r="13" customFormat="false" ht="15" hidden="false" customHeight="false" outlineLevel="0" collapsed="false">
      <c r="A13" s="6" t="s">
        <v>21</v>
      </c>
      <c r="B13" s="7" t="n">
        <f aca="false">COUNTIFS(Calendário!$F:$F,$A13,Calendário!$B:$B,"Outubro",Calendário!$G:$G,"Vídeo")</f>
        <v>2</v>
      </c>
      <c r="C13" s="7" t="n">
        <f aca="false">COUNTIFS(Calendário!$F:$F,$A13,Calendário!$B:$B,"Outubro",Calendário!$G:$G,"Carrossel")</f>
        <v>2</v>
      </c>
      <c r="D13" s="7" t="n">
        <f aca="false">COUNTIFS(Calendário!$F:$F,$A13,Calendário!$B:$B,"Outubro",Calendário!$G:$G,"Estático")</f>
        <v>2</v>
      </c>
      <c r="E13" s="8" t="n">
        <f aca="false">SUM(B13:D13)</f>
        <v>6</v>
      </c>
      <c r="F13" s="7" t="n">
        <f aca="false">COUNTIFS(Calendário!$F:$F,$A13,Calendário!$B:$B,"Novembro",Calendário!$G:$G,"Vídeo")</f>
        <v>2</v>
      </c>
      <c r="G13" s="7" t="n">
        <f aca="false">COUNTIFS(Calendário!$F:$F,$A13,Calendário!$B:$B,"Novembro",Calendário!$G:$G,"Carrossel")</f>
        <v>2</v>
      </c>
      <c r="H13" s="7" t="n">
        <f aca="false">COUNTIFS(Calendário!$F:$F,$A13,Calendário!$B:$B,"Novembro",Calendário!$G:$G,"Estático")</f>
        <v>1</v>
      </c>
      <c r="I13" s="8" t="n">
        <f aca="false">SUM(F13:H13)</f>
        <v>5</v>
      </c>
      <c r="J13" s="7" t="n">
        <f aca="false">COUNTIFS(Calendário!$F:$F,$A13,Calendário!$B:$B,"Dezembro",Calendário!$G:$G,"Vídeo")</f>
        <v>2</v>
      </c>
      <c r="K13" s="7" t="n">
        <f aca="false">COUNTIFS(Calendário!$F:$F,$A13,Calendário!$B:$B,"Dezembro",Calendário!$G:$G,"Carrossel")</f>
        <v>2</v>
      </c>
      <c r="L13" s="7" t="n">
        <f aca="false">COUNTIFS(Calendário!$F:$F,$A13,Calendário!$B:$B,"Dezembro",Calendário!$G:$G,"Estático")</f>
        <v>2</v>
      </c>
      <c r="M13" s="8" t="n">
        <f aca="false">SUM(J13:L13)</f>
        <v>6</v>
      </c>
      <c r="N13" s="7" t="n">
        <f aca="false">B13+F13+J13</f>
        <v>6</v>
      </c>
      <c r="O13" s="7" t="n">
        <f aca="false">C13+G13+K13</f>
        <v>6</v>
      </c>
      <c r="P13" s="7" t="n">
        <f aca="false">D13+H13+L13</f>
        <v>5</v>
      </c>
      <c r="Q13" s="8" t="n">
        <f aca="false">SUM(N13:P13)</f>
        <v>17</v>
      </c>
    </row>
    <row r="14" customFormat="false" ht="15" hidden="false" customHeight="false" outlineLevel="0" collapsed="false">
      <c r="A14" s="9" t="s">
        <v>22</v>
      </c>
      <c r="B14" s="10" t="n">
        <f aca="false">COUNTIFS(Calendário!$F:$F,$A14,Calendário!$B:$B,"Outubro",Calendário!$G:$G,"Vídeo")</f>
        <v>2</v>
      </c>
      <c r="C14" s="10" t="n">
        <f aca="false">COUNTIFS(Calendário!$F:$F,$A14,Calendário!$B:$B,"Outubro",Calendário!$G:$G,"Carrossel")</f>
        <v>2</v>
      </c>
      <c r="D14" s="10" t="n">
        <f aca="false">COUNTIFS(Calendário!$F:$F,$A14,Calendário!$B:$B,"Outubro",Calendário!$G:$G,"Estático")</f>
        <v>2</v>
      </c>
      <c r="E14" s="11" t="n">
        <f aca="false">SUM(B14:D14)</f>
        <v>6</v>
      </c>
      <c r="F14" s="10" t="n">
        <f aca="false">COUNTIFS(Calendário!$F:$F,$A14,Calendário!$B:$B,"Novembro",Calendário!$G:$G,"Vídeo")</f>
        <v>2</v>
      </c>
      <c r="G14" s="10" t="n">
        <f aca="false">COUNTIFS(Calendário!$F:$F,$A14,Calendário!$B:$B,"Novembro",Calendário!$G:$G,"Carrossel")</f>
        <v>2</v>
      </c>
      <c r="H14" s="10" t="n">
        <f aca="false">COUNTIFS(Calendário!$F:$F,$A14,Calendário!$B:$B,"Novembro",Calendário!$G:$G,"Estático")</f>
        <v>1</v>
      </c>
      <c r="I14" s="11" t="n">
        <f aca="false">SUM(F14:H14)</f>
        <v>5</v>
      </c>
      <c r="J14" s="10" t="n">
        <f aca="false">COUNTIFS(Calendário!$F:$F,$A14,Calendário!$B:$B,"Dezembro",Calendário!$G:$G,"Vídeo")</f>
        <v>2</v>
      </c>
      <c r="K14" s="10" t="n">
        <f aca="false">COUNTIFS(Calendário!$F:$F,$A14,Calendário!$B:$B,"Dezembro",Calendário!$G:$G,"Carrossel")</f>
        <v>2</v>
      </c>
      <c r="L14" s="10" t="n">
        <f aca="false">COUNTIFS(Calendário!$F:$F,$A14,Calendário!$B:$B,"Dezembro",Calendário!$G:$G,"Estático")</f>
        <v>2</v>
      </c>
      <c r="M14" s="11" t="n">
        <f aca="false">SUM(J14:L14)</f>
        <v>6</v>
      </c>
      <c r="N14" s="10" t="n">
        <f aca="false">B14+F14+J14</f>
        <v>6</v>
      </c>
      <c r="O14" s="10" t="n">
        <f aca="false">C14+G14+K14</f>
        <v>6</v>
      </c>
      <c r="P14" s="10" t="n">
        <f aca="false">D14+H14+L14</f>
        <v>5</v>
      </c>
      <c r="Q14" s="11" t="n">
        <f aca="false">SUM(N14:P14)</f>
        <v>17</v>
      </c>
    </row>
    <row r="15" customFormat="false" ht="15" hidden="false" customHeight="false" outlineLevel="0" collapsed="false">
      <c r="A15" s="12" t="s">
        <v>23</v>
      </c>
      <c r="B15" s="13" t="n">
        <f aca="false">SUM(B7:B14)</f>
        <v>16</v>
      </c>
      <c r="C15" s="13" t="n">
        <f aca="false">SUM(C7:C14)</f>
        <v>16</v>
      </c>
      <c r="D15" s="13" t="n">
        <f aca="false">SUM(D7:D14)</f>
        <v>16</v>
      </c>
      <c r="E15" s="13" t="n">
        <f aca="false">SUM(E7:E14)</f>
        <v>48</v>
      </c>
      <c r="F15" s="13" t="n">
        <f aca="false">SUM(F7:F14)</f>
        <v>16</v>
      </c>
      <c r="G15" s="13" t="n">
        <f aca="false">SUM(G7:G14)</f>
        <v>16</v>
      </c>
      <c r="H15" s="13" t="n">
        <f aca="false">SUM(H7:H14)</f>
        <v>8</v>
      </c>
      <c r="I15" s="13" t="n">
        <f aca="false">SUM(I7:I14)</f>
        <v>40</v>
      </c>
      <c r="J15" s="13" t="n">
        <f aca="false">SUM(J7:J14)</f>
        <v>16</v>
      </c>
      <c r="K15" s="13" t="n">
        <f aca="false">SUM(K7:K14)</f>
        <v>16</v>
      </c>
      <c r="L15" s="13" t="n">
        <f aca="false">SUM(L7:L14)</f>
        <v>16</v>
      </c>
      <c r="M15" s="13" t="n">
        <f aca="false">SUM(M7:M14)</f>
        <v>48</v>
      </c>
      <c r="N15" s="13" t="n">
        <f aca="false">SUM(N7:N14)</f>
        <v>48</v>
      </c>
      <c r="O15" s="13" t="n">
        <f aca="false">SUM(O7:O14)</f>
        <v>48</v>
      </c>
      <c r="P15" s="13" t="n">
        <f aca="false">SUM(P7:P14)</f>
        <v>40</v>
      </c>
      <c r="Q15" s="13" t="n">
        <f aca="false">SUM(Q7:Q14)</f>
        <v>136</v>
      </c>
    </row>
  </sheetData>
  <mergeCells count="9">
    <mergeCell ref="A4:A6"/>
    <mergeCell ref="B4:E4"/>
    <mergeCell ref="F4:I4"/>
    <mergeCell ref="J4:M4"/>
    <mergeCell ref="N4:Q4"/>
    <mergeCell ref="B5:E5"/>
    <mergeCell ref="F5:I5"/>
    <mergeCell ref="J5:M5"/>
    <mergeCell ref="N5:Q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1"/>
    <col collapsed="false" customWidth="true" hidden="false" outlineLevel="0" max="5" min="5" style="0" width="6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9" min="9" style="0" width="48"/>
    <col collapsed="false" customWidth="true" hidden="false" outlineLevel="0" max="10" min="10" style="0" width="40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4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27.75" hidden="false" customHeight="true" outlineLevel="0" collapsed="false">
      <c r="A4" s="14" t="s">
        <v>26</v>
      </c>
      <c r="B4" s="14" t="s">
        <v>27</v>
      </c>
      <c r="C4" s="14" t="s">
        <v>28</v>
      </c>
      <c r="D4" s="14" t="s">
        <v>29</v>
      </c>
      <c r="E4" s="14" t="s">
        <v>30</v>
      </c>
      <c r="F4" s="14" t="s">
        <v>2</v>
      </c>
      <c r="G4" s="14" t="s">
        <v>31</v>
      </c>
      <c r="H4" s="14" t="s">
        <v>32</v>
      </c>
      <c r="I4" s="14" t="s">
        <v>33</v>
      </c>
      <c r="J4" s="14" t="s">
        <v>34</v>
      </c>
      <c r="K4" s="14" t="s">
        <v>35</v>
      </c>
      <c r="L4" s="14" t="s">
        <v>36</v>
      </c>
      <c r="M4" s="14" t="s">
        <v>37</v>
      </c>
      <c r="N4" s="14" t="s">
        <v>38</v>
      </c>
      <c r="O4" s="14" t="s">
        <v>39</v>
      </c>
    </row>
    <row r="5" customFormat="false" ht="48" hidden="false" customHeight="true" outlineLevel="0" collapsed="false">
      <c r="A5" s="15" t="n">
        <v>1</v>
      </c>
      <c r="B5" s="15" t="s">
        <v>40</v>
      </c>
      <c r="C5" s="15" t="s">
        <v>41</v>
      </c>
      <c r="D5" s="16" t="n">
        <v>46308</v>
      </c>
      <c r="E5" s="15" t="str">
        <f aca="false">CHOOSE(WEEKDAY(D5),"Dom","Seg","Ter","Qua","Qui","Sex","Sáb")</f>
        <v>Ter</v>
      </c>
      <c r="F5" s="17" t="s">
        <v>15</v>
      </c>
      <c r="G5" s="18" t="s">
        <v>42</v>
      </c>
      <c r="H5" s="19" t="s">
        <v>43</v>
      </c>
      <c r="I5" s="19" t="s">
        <v>44</v>
      </c>
      <c r="J5" s="20" t="s">
        <v>45</v>
      </c>
      <c r="K5" s="19" t="s">
        <v>46</v>
      </c>
      <c r="L5" s="16" t="n">
        <f aca="false">WORKDAY(D5,-Premissas!$B$4,Premissas!$E$5:$E$11)</f>
        <v>46303</v>
      </c>
      <c r="M5" s="21" t="s">
        <v>47</v>
      </c>
      <c r="N5" s="21"/>
      <c r="O5" s="19"/>
    </row>
    <row r="6" customFormat="false" ht="48" hidden="false" customHeight="true" outlineLevel="0" collapsed="false">
      <c r="A6" s="15" t="n">
        <v>2</v>
      </c>
      <c r="B6" s="15" t="s">
        <v>40</v>
      </c>
      <c r="C6" s="15" t="s">
        <v>41</v>
      </c>
      <c r="D6" s="16" t="n">
        <v>46308</v>
      </c>
      <c r="E6" s="15" t="str">
        <f aca="false">CHOOSE(WEEKDAY(D6),"Dom","Seg","Ter","Qua","Qui","Sex","Sáb")</f>
        <v>Ter</v>
      </c>
      <c r="F6" s="17" t="s">
        <v>15</v>
      </c>
      <c r="G6" s="22" t="s">
        <v>48</v>
      </c>
      <c r="H6" s="19" t="s">
        <v>49</v>
      </c>
      <c r="I6" s="19" t="s">
        <v>50</v>
      </c>
      <c r="J6" s="20" t="s">
        <v>51</v>
      </c>
      <c r="K6" s="19" t="s">
        <v>46</v>
      </c>
      <c r="L6" s="16" t="n">
        <f aca="false">WORKDAY(D6,-Premissas!$B$4,Premissas!$E$5:$E$11)</f>
        <v>46303</v>
      </c>
      <c r="M6" s="21" t="s">
        <v>47</v>
      </c>
      <c r="N6" s="21"/>
      <c r="O6" s="19"/>
    </row>
    <row r="7" customFormat="false" ht="48" hidden="false" customHeight="true" outlineLevel="0" collapsed="false">
      <c r="A7" s="15" t="n">
        <v>3</v>
      </c>
      <c r="B7" s="15" t="s">
        <v>40</v>
      </c>
      <c r="C7" s="15" t="s">
        <v>41</v>
      </c>
      <c r="D7" s="16" t="n">
        <v>46308</v>
      </c>
      <c r="E7" s="15" t="str">
        <f aca="false">CHOOSE(WEEKDAY(D7),"Dom","Seg","Ter","Qua","Qui","Sex","Sáb")</f>
        <v>Ter</v>
      </c>
      <c r="F7" s="17" t="s">
        <v>16</v>
      </c>
      <c r="G7" s="23" t="s">
        <v>52</v>
      </c>
      <c r="H7" s="19" t="s">
        <v>53</v>
      </c>
      <c r="I7" s="19" t="s">
        <v>54</v>
      </c>
      <c r="J7" s="20" t="s">
        <v>55</v>
      </c>
      <c r="K7" s="19" t="s">
        <v>56</v>
      </c>
      <c r="L7" s="16" t="n">
        <f aca="false">WORKDAY(D7,-Premissas!$B$4,Premissas!$E$5:$E$11)</f>
        <v>46303</v>
      </c>
      <c r="M7" s="21" t="s">
        <v>47</v>
      </c>
      <c r="N7" s="21"/>
      <c r="O7" s="24" t="s">
        <v>57</v>
      </c>
    </row>
    <row r="8" customFormat="false" ht="48" hidden="false" customHeight="true" outlineLevel="0" collapsed="false">
      <c r="A8" s="15" t="n">
        <v>4</v>
      </c>
      <c r="B8" s="15" t="s">
        <v>40</v>
      </c>
      <c r="C8" s="15" t="s">
        <v>41</v>
      </c>
      <c r="D8" s="16" t="n">
        <v>46308</v>
      </c>
      <c r="E8" s="15" t="str">
        <f aca="false">CHOOSE(WEEKDAY(D8),"Dom","Seg","Ter","Qua","Qui","Sex","Sáb")</f>
        <v>Ter</v>
      </c>
      <c r="F8" s="17" t="s">
        <v>16</v>
      </c>
      <c r="G8" s="22" t="s">
        <v>48</v>
      </c>
      <c r="H8" s="19" t="s">
        <v>58</v>
      </c>
      <c r="I8" s="19" t="s">
        <v>59</v>
      </c>
      <c r="J8" s="20" t="s">
        <v>60</v>
      </c>
      <c r="K8" s="19" t="s">
        <v>56</v>
      </c>
      <c r="L8" s="16" t="n">
        <f aca="false">WORKDAY(D8,-Premissas!$B$4,Premissas!$E$5:$E$11)</f>
        <v>46303</v>
      </c>
      <c r="M8" s="21" t="s">
        <v>47</v>
      </c>
      <c r="N8" s="21"/>
      <c r="O8" s="24" t="s">
        <v>57</v>
      </c>
    </row>
    <row r="9" customFormat="false" ht="48" hidden="false" customHeight="true" outlineLevel="0" collapsed="false">
      <c r="A9" s="15" t="n">
        <v>5</v>
      </c>
      <c r="B9" s="15" t="s">
        <v>40</v>
      </c>
      <c r="C9" s="15" t="s">
        <v>41</v>
      </c>
      <c r="D9" s="16" t="n">
        <v>46309</v>
      </c>
      <c r="E9" s="15" t="str">
        <f aca="false">CHOOSE(WEEKDAY(D9),"Dom","Seg","Ter","Qua","Qui","Sex","Sáb")</f>
        <v>Qua</v>
      </c>
      <c r="F9" s="17" t="s">
        <v>17</v>
      </c>
      <c r="G9" s="18" t="s">
        <v>42</v>
      </c>
      <c r="H9" s="19" t="s">
        <v>61</v>
      </c>
      <c r="I9" s="19" t="s">
        <v>62</v>
      </c>
      <c r="J9" s="20" t="s">
        <v>63</v>
      </c>
      <c r="K9" s="19" t="s">
        <v>46</v>
      </c>
      <c r="L9" s="16" t="n">
        <f aca="false">WORKDAY(D9,-Premissas!$B$4,Premissas!$E$5:$E$11)</f>
        <v>46304</v>
      </c>
      <c r="M9" s="21" t="s">
        <v>47</v>
      </c>
      <c r="N9" s="21"/>
      <c r="O9" s="19"/>
    </row>
    <row r="10" customFormat="false" ht="48" hidden="false" customHeight="true" outlineLevel="0" collapsed="false">
      <c r="A10" s="15" t="n">
        <v>6</v>
      </c>
      <c r="B10" s="15" t="s">
        <v>40</v>
      </c>
      <c r="C10" s="15" t="s">
        <v>41</v>
      </c>
      <c r="D10" s="16" t="n">
        <v>46309</v>
      </c>
      <c r="E10" s="15" t="str">
        <f aca="false">CHOOSE(WEEKDAY(D10),"Dom","Seg","Ter","Qua","Qui","Sex","Sáb")</f>
        <v>Qua</v>
      </c>
      <c r="F10" s="17" t="s">
        <v>17</v>
      </c>
      <c r="G10" s="22" t="s">
        <v>48</v>
      </c>
      <c r="H10" s="19" t="s">
        <v>64</v>
      </c>
      <c r="I10" s="19" t="s">
        <v>65</v>
      </c>
      <c r="J10" s="20" t="s">
        <v>66</v>
      </c>
      <c r="K10" s="19" t="s">
        <v>46</v>
      </c>
      <c r="L10" s="16" t="n">
        <f aca="false">WORKDAY(D10,-Premissas!$B$4,Premissas!$E$5:$E$11)</f>
        <v>46304</v>
      </c>
      <c r="M10" s="21" t="s">
        <v>47</v>
      </c>
      <c r="N10" s="21"/>
      <c r="O10" s="19"/>
    </row>
    <row r="11" customFormat="false" ht="48" hidden="false" customHeight="true" outlineLevel="0" collapsed="false">
      <c r="A11" s="15" t="n">
        <v>7</v>
      </c>
      <c r="B11" s="15" t="s">
        <v>40</v>
      </c>
      <c r="C11" s="15" t="s">
        <v>41</v>
      </c>
      <c r="D11" s="16" t="n">
        <v>46309</v>
      </c>
      <c r="E11" s="15" t="str">
        <f aca="false">CHOOSE(WEEKDAY(D11),"Dom","Seg","Ter","Qua","Qui","Sex","Sáb")</f>
        <v>Qua</v>
      </c>
      <c r="F11" s="17" t="s">
        <v>18</v>
      </c>
      <c r="G11" s="18" t="s">
        <v>42</v>
      </c>
      <c r="H11" s="19" t="s">
        <v>67</v>
      </c>
      <c r="I11" s="19" t="s">
        <v>68</v>
      </c>
      <c r="J11" s="20" t="s">
        <v>69</v>
      </c>
      <c r="K11" s="19" t="s">
        <v>70</v>
      </c>
      <c r="L11" s="16" t="n">
        <f aca="false">WORKDAY(D11,-Premissas!$B$4,Premissas!$E$5:$E$11)</f>
        <v>46304</v>
      </c>
      <c r="M11" s="21" t="s">
        <v>47</v>
      </c>
      <c r="N11" s="21"/>
      <c r="O11" s="19"/>
    </row>
    <row r="12" customFormat="false" ht="48" hidden="false" customHeight="true" outlineLevel="0" collapsed="false">
      <c r="A12" s="15" t="n">
        <v>8</v>
      </c>
      <c r="B12" s="15" t="s">
        <v>40</v>
      </c>
      <c r="C12" s="15" t="s">
        <v>41</v>
      </c>
      <c r="D12" s="16" t="n">
        <v>46309</v>
      </c>
      <c r="E12" s="15" t="str">
        <f aca="false">CHOOSE(WEEKDAY(D12),"Dom","Seg","Ter","Qua","Qui","Sex","Sáb")</f>
        <v>Qua</v>
      </c>
      <c r="F12" s="17" t="s">
        <v>18</v>
      </c>
      <c r="G12" s="22" t="s">
        <v>48</v>
      </c>
      <c r="H12" s="19" t="s">
        <v>71</v>
      </c>
      <c r="I12" s="19" t="s">
        <v>72</v>
      </c>
      <c r="J12" s="20" t="s">
        <v>73</v>
      </c>
      <c r="K12" s="19" t="s">
        <v>70</v>
      </c>
      <c r="L12" s="16" t="n">
        <f aca="false">WORKDAY(D12,-Premissas!$B$4,Premissas!$E$5:$E$11)</f>
        <v>46304</v>
      </c>
      <c r="M12" s="21" t="s">
        <v>47</v>
      </c>
      <c r="N12" s="21"/>
      <c r="O12" s="19"/>
    </row>
    <row r="13" customFormat="false" ht="48" hidden="false" customHeight="true" outlineLevel="0" collapsed="false">
      <c r="A13" s="15" t="n">
        <v>9</v>
      </c>
      <c r="B13" s="15" t="s">
        <v>40</v>
      </c>
      <c r="C13" s="15" t="s">
        <v>41</v>
      </c>
      <c r="D13" s="16" t="n">
        <v>46310</v>
      </c>
      <c r="E13" s="15" t="str">
        <f aca="false">CHOOSE(WEEKDAY(D13),"Dom","Seg","Ter","Qua","Qui","Sex","Sáb")</f>
        <v>Qui</v>
      </c>
      <c r="F13" s="17" t="s">
        <v>19</v>
      </c>
      <c r="G13" s="23" t="s">
        <v>52</v>
      </c>
      <c r="H13" s="19" t="s">
        <v>74</v>
      </c>
      <c r="I13" s="19" t="s">
        <v>75</v>
      </c>
      <c r="J13" s="20" t="s">
        <v>76</v>
      </c>
      <c r="K13" s="19" t="s">
        <v>46</v>
      </c>
      <c r="L13" s="16" t="n">
        <f aca="false">WORKDAY(D13,-Premissas!$B$4,Premissas!$E$5:$E$11)</f>
        <v>46308</v>
      </c>
      <c r="M13" s="21" t="s">
        <v>47</v>
      </c>
      <c r="N13" s="21"/>
      <c r="O13" s="19"/>
    </row>
    <row r="14" customFormat="false" ht="48" hidden="false" customHeight="true" outlineLevel="0" collapsed="false">
      <c r="A14" s="15" t="n">
        <v>10</v>
      </c>
      <c r="B14" s="15" t="s">
        <v>40</v>
      </c>
      <c r="C14" s="15" t="s">
        <v>41</v>
      </c>
      <c r="D14" s="16" t="n">
        <v>46310</v>
      </c>
      <c r="E14" s="15" t="str">
        <f aca="false">CHOOSE(WEEKDAY(D14),"Dom","Seg","Ter","Qua","Qui","Sex","Sáb")</f>
        <v>Qui</v>
      </c>
      <c r="F14" s="17" t="s">
        <v>19</v>
      </c>
      <c r="G14" s="22" t="s">
        <v>48</v>
      </c>
      <c r="H14" s="19" t="s">
        <v>77</v>
      </c>
      <c r="I14" s="19" t="s">
        <v>78</v>
      </c>
      <c r="J14" s="20" t="s">
        <v>79</v>
      </c>
      <c r="K14" s="19" t="s">
        <v>46</v>
      </c>
      <c r="L14" s="16" t="n">
        <f aca="false">WORKDAY(D14,-Premissas!$B$4,Premissas!$E$5:$E$11)</f>
        <v>46308</v>
      </c>
      <c r="M14" s="21" t="s">
        <v>47</v>
      </c>
      <c r="N14" s="21"/>
      <c r="O14" s="19"/>
    </row>
    <row r="15" customFormat="false" ht="48" hidden="false" customHeight="true" outlineLevel="0" collapsed="false">
      <c r="A15" s="15" t="n">
        <v>11</v>
      </c>
      <c r="B15" s="15" t="s">
        <v>40</v>
      </c>
      <c r="C15" s="15" t="s">
        <v>41</v>
      </c>
      <c r="D15" s="16" t="n">
        <v>46310</v>
      </c>
      <c r="E15" s="15" t="str">
        <f aca="false">CHOOSE(WEEKDAY(D15),"Dom","Seg","Ter","Qua","Qui","Sex","Sáb")</f>
        <v>Qui</v>
      </c>
      <c r="F15" s="17" t="s">
        <v>20</v>
      </c>
      <c r="G15" s="18" t="s">
        <v>42</v>
      </c>
      <c r="H15" s="19" t="s">
        <v>80</v>
      </c>
      <c r="I15" s="19" t="s">
        <v>81</v>
      </c>
      <c r="J15" s="20" t="s">
        <v>82</v>
      </c>
      <c r="K15" s="19" t="s">
        <v>83</v>
      </c>
      <c r="L15" s="16" t="n">
        <f aca="false">WORKDAY(D15,-Premissas!$B$4,Premissas!$E$5:$E$11)</f>
        <v>46308</v>
      </c>
      <c r="M15" s="21" t="s">
        <v>47</v>
      </c>
      <c r="N15" s="21"/>
      <c r="O15" s="24" t="s">
        <v>84</v>
      </c>
    </row>
    <row r="16" customFormat="false" ht="48" hidden="false" customHeight="true" outlineLevel="0" collapsed="false">
      <c r="A16" s="15" t="n">
        <v>12</v>
      </c>
      <c r="B16" s="15" t="s">
        <v>40</v>
      </c>
      <c r="C16" s="15" t="s">
        <v>41</v>
      </c>
      <c r="D16" s="16" t="n">
        <v>46310</v>
      </c>
      <c r="E16" s="15" t="str">
        <f aca="false">CHOOSE(WEEKDAY(D16),"Dom","Seg","Ter","Qua","Qui","Sex","Sáb")</f>
        <v>Qui</v>
      </c>
      <c r="F16" s="17" t="s">
        <v>20</v>
      </c>
      <c r="G16" s="22" t="s">
        <v>48</v>
      </c>
      <c r="H16" s="19" t="s">
        <v>85</v>
      </c>
      <c r="I16" s="19" t="s">
        <v>86</v>
      </c>
      <c r="J16" s="20" t="s">
        <v>87</v>
      </c>
      <c r="K16" s="19" t="s">
        <v>83</v>
      </c>
      <c r="L16" s="16" t="n">
        <f aca="false">WORKDAY(D16,-Premissas!$B$4,Premissas!$E$5:$E$11)</f>
        <v>46308</v>
      </c>
      <c r="M16" s="21" t="s">
        <v>47</v>
      </c>
      <c r="N16" s="21"/>
      <c r="O16" s="24" t="s">
        <v>84</v>
      </c>
    </row>
    <row r="17" customFormat="false" ht="48" hidden="false" customHeight="true" outlineLevel="0" collapsed="false">
      <c r="A17" s="15" t="n">
        <v>13</v>
      </c>
      <c r="B17" s="15" t="s">
        <v>40</v>
      </c>
      <c r="C17" s="15" t="s">
        <v>41</v>
      </c>
      <c r="D17" s="16" t="n">
        <v>46311</v>
      </c>
      <c r="E17" s="15" t="str">
        <f aca="false">CHOOSE(WEEKDAY(D17),"Dom","Seg","Ter","Qua","Qui","Sex","Sáb")</f>
        <v>Sex</v>
      </c>
      <c r="F17" s="17" t="s">
        <v>21</v>
      </c>
      <c r="G17" s="18" t="s">
        <v>42</v>
      </c>
      <c r="H17" s="19" t="s">
        <v>88</v>
      </c>
      <c r="I17" s="19" t="s">
        <v>89</v>
      </c>
      <c r="J17" s="20" t="s">
        <v>90</v>
      </c>
      <c r="K17" s="19" t="s">
        <v>46</v>
      </c>
      <c r="L17" s="16" t="n">
        <f aca="false">WORKDAY(D17,-Premissas!$B$4,Premissas!$E$5:$E$11)</f>
        <v>46309</v>
      </c>
      <c r="M17" s="21" t="s">
        <v>47</v>
      </c>
      <c r="N17" s="21"/>
      <c r="O17" s="19"/>
    </row>
    <row r="18" customFormat="false" ht="48" hidden="false" customHeight="true" outlineLevel="0" collapsed="false">
      <c r="A18" s="15" t="n">
        <v>14</v>
      </c>
      <c r="B18" s="15" t="s">
        <v>40</v>
      </c>
      <c r="C18" s="15" t="s">
        <v>41</v>
      </c>
      <c r="D18" s="16" t="n">
        <v>46311</v>
      </c>
      <c r="E18" s="15" t="str">
        <f aca="false">CHOOSE(WEEKDAY(D18),"Dom","Seg","Ter","Qua","Qui","Sex","Sáb")</f>
        <v>Sex</v>
      </c>
      <c r="F18" s="17" t="s">
        <v>21</v>
      </c>
      <c r="G18" s="22" t="s">
        <v>48</v>
      </c>
      <c r="H18" s="19" t="s">
        <v>77</v>
      </c>
      <c r="I18" s="19" t="s">
        <v>91</v>
      </c>
      <c r="J18" s="20" t="s">
        <v>90</v>
      </c>
      <c r="K18" s="19" t="s">
        <v>46</v>
      </c>
      <c r="L18" s="16" t="n">
        <f aca="false">WORKDAY(D18,-Premissas!$B$4,Premissas!$E$5:$E$11)</f>
        <v>46309</v>
      </c>
      <c r="M18" s="21" t="s">
        <v>47</v>
      </c>
      <c r="N18" s="21"/>
      <c r="O18" s="19"/>
    </row>
    <row r="19" customFormat="false" ht="48" hidden="false" customHeight="true" outlineLevel="0" collapsed="false">
      <c r="A19" s="15" t="n">
        <v>15</v>
      </c>
      <c r="B19" s="15" t="s">
        <v>40</v>
      </c>
      <c r="C19" s="15" t="s">
        <v>41</v>
      </c>
      <c r="D19" s="16" t="n">
        <v>46311</v>
      </c>
      <c r="E19" s="15" t="str">
        <f aca="false">CHOOSE(WEEKDAY(D19),"Dom","Seg","Ter","Qua","Qui","Sex","Sáb")</f>
        <v>Sex</v>
      </c>
      <c r="F19" s="17" t="s">
        <v>22</v>
      </c>
      <c r="G19" s="23" t="s">
        <v>52</v>
      </c>
      <c r="H19" s="19" t="s">
        <v>92</v>
      </c>
      <c r="I19" s="19" t="s">
        <v>93</v>
      </c>
      <c r="J19" s="20" t="s">
        <v>94</v>
      </c>
      <c r="K19" s="19" t="s">
        <v>95</v>
      </c>
      <c r="L19" s="16" t="n">
        <f aca="false">WORKDAY(D19,-Premissas!$B$4,Premissas!$E$5:$E$11)</f>
        <v>46309</v>
      </c>
      <c r="M19" s="21" t="s">
        <v>47</v>
      </c>
      <c r="N19" s="21"/>
      <c r="O19" s="19"/>
    </row>
    <row r="20" customFormat="false" ht="48" hidden="false" customHeight="true" outlineLevel="0" collapsed="false">
      <c r="A20" s="15" t="n">
        <v>16</v>
      </c>
      <c r="B20" s="15" t="s">
        <v>40</v>
      </c>
      <c r="C20" s="15" t="s">
        <v>41</v>
      </c>
      <c r="D20" s="16" t="n">
        <v>46311</v>
      </c>
      <c r="E20" s="15" t="str">
        <f aca="false">CHOOSE(WEEKDAY(D20),"Dom","Seg","Ter","Qua","Qui","Sex","Sáb")</f>
        <v>Sex</v>
      </c>
      <c r="F20" s="17" t="s">
        <v>22</v>
      </c>
      <c r="G20" s="22" t="s">
        <v>48</v>
      </c>
      <c r="H20" s="19" t="s">
        <v>96</v>
      </c>
      <c r="I20" s="19" t="s">
        <v>97</v>
      </c>
      <c r="J20" s="20" t="s">
        <v>98</v>
      </c>
      <c r="K20" s="19" t="s">
        <v>95</v>
      </c>
      <c r="L20" s="16" t="n">
        <f aca="false">WORKDAY(D20,-Premissas!$B$4,Premissas!$E$5:$E$11)</f>
        <v>46309</v>
      </c>
      <c r="M20" s="21" t="s">
        <v>47</v>
      </c>
      <c r="N20" s="21"/>
      <c r="O20" s="19"/>
    </row>
    <row r="21" customFormat="false" ht="48" hidden="false" customHeight="true" outlineLevel="0" collapsed="false">
      <c r="A21" s="15" t="n">
        <v>17</v>
      </c>
      <c r="B21" s="15" t="s">
        <v>40</v>
      </c>
      <c r="C21" s="15" t="s">
        <v>99</v>
      </c>
      <c r="D21" s="16" t="n">
        <v>46315</v>
      </c>
      <c r="E21" s="15" t="str">
        <f aca="false">CHOOSE(WEEKDAY(D21),"Dom","Seg","Ter","Qua","Qui","Sex","Sáb")</f>
        <v>Ter</v>
      </c>
      <c r="F21" s="17" t="s">
        <v>15</v>
      </c>
      <c r="G21" s="18" t="s">
        <v>42</v>
      </c>
      <c r="H21" s="19" t="s">
        <v>100</v>
      </c>
      <c r="I21" s="19" t="s">
        <v>101</v>
      </c>
      <c r="J21" s="20" t="s">
        <v>102</v>
      </c>
      <c r="K21" s="19" t="s">
        <v>46</v>
      </c>
      <c r="L21" s="16" t="n">
        <f aca="false">WORKDAY(D21,-Premissas!$B$4,Premissas!$E$5:$E$11)</f>
        <v>46311</v>
      </c>
      <c r="M21" s="21" t="s">
        <v>47</v>
      </c>
      <c r="N21" s="21"/>
      <c r="O21" s="19"/>
    </row>
    <row r="22" customFormat="false" ht="48" hidden="false" customHeight="true" outlineLevel="0" collapsed="false">
      <c r="A22" s="15" t="n">
        <v>18</v>
      </c>
      <c r="B22" s="15" t="s">
        <v>40</v>
      </c>
      <c r="C22" s="15" t="s">
        <v>99</v>
      </c>
      <c r="D22" s="16" t="n">
        <v>46315</v>
      </c>
      <c r="E22" s="15" t="str">
        <f aca="false">CHOOSE(WEEKDAY(D22),"Dom","Seg","Ter","Qua","Qui","Sex","Sáb")</f>
        <v>Ter</v>
      </c>
      <c r="F22" s="17" t="s">
        <v>15</v>
      </c>
      <c r="G22" s="23" t="s">
        <v>52</v>
      </c>
      <c r="H22" s="19" t="s">
        <v>103</v>
      </c>
      <c r="I22" s="19" t="s">
        <v>104</v>
      </c>
      <c r="J22" s="20" t="s">
        <v>105</v>
      </c>
      <c r="K22" s="19" t="s">
        <v>46</v>
      </c>
      <c r="L22" s="16" t="n">
        <f aca="false">WORKDAY(D22,-Premissas!$B$4,Premissas!$E$5:$E$11)</f>
        <v>46311</v>
      </c>
      <c r="M22" s="21" t="s">
        <v>47</v>
      </c>
      <c r="N22" s="21"/>
      <c r="O22" s="19"/>
    </row>
    <row r="23" customFormat="false" ht="48" hidden="false" customHeight="true" outlineLevel="0" collapsed="false">
      <c r="A23" s="15" t="n">
        <v>19</v>
      </c>
      <c r="B23" s="15" t="s">
        <v>40</v>
      </c>
      <c r="C23" s="15" t="s">
        <v>99</v>
      </c>
      <c r="D23" s="16" t="n">
        <v>46315</v>
      </c>
      <c r="E23" s="15" t="str">
        <f aca="false">CHOOSE(WEEKDAY(D23),"Dom","Seg","Ter","Qua","Qui","Sex","Sáb")</f>
        <v>Ter</v>
      </c>
      <c r="F23" s="17" t="s">
        <v>16</v>
      </c>
      <c r="G23" s="18" t="s">
        <v>42</v>
      </c>
      <c r="H23" s="19" t="s">
        <v>106</v>
      </c>
      <c r="I23" s="19" t="s">
        <v>107</v>
      </c>
      <c r="J23" s="20" t="s">
        <v>108</v>
      </c>
      <c r="K23" s="19" t="s">
        <v>56</v>
      </c>
      <c r="L23" s="16" t="n">
        <f aca="false">WORKDAY(D23,-Premissas!$B$4,Premissas!$E$5:$E$11)</f>
        <v>46311</v>
      </c>
      <c r="M23" s="21" t="s">
        <v>47</v>
      </c>
      <c r="N23" s="21"/>
      <c r="O23" s="24" t="s">
        <v>57</v>
      </c>
    </row>
    <row r="24" customFormat="false" ht="48" hidden="false" customHeight="true" outlineLevel="0" collapsed="false">
      <c r="A24" s="15" t="n">
        <v>20</v>
      </c>
      <c r="B24" s="15" t="s">
        <v>40</v>
      </c>
      <c r="C24" s="15" t="s">
        <v>99</v>
      </c>
      <c r="D24" s="16" t="n">
        <v>46315</v>
      </c>
      <c r="E24" s="15" t="str">
        <f aca="false">CHOOSE(WEEKDAY(D24),"Dom","Seg","Ter","Qua","Qui","Sex","Sáb")</f>
        <v>Ter</v>
      </c>
      <c r="F24" s="17" t="s">
        <v>16</v>
      </c>
      <c r="G24" s="23" t="s">
        <v>52</v>
      </c>
      <c r="H24" s="19" t="s">
        <v>109</v>
      </c>
      <c r="I24" s="19" t="s">
        <v>110</v>
      </c>
      <c r="J24" s="20" t="s">
        <v>111</v>
      </c>
      <c r="K24" s="19" t="s">
        <v>56</v>
      </c>
      <c r="L24" s="16" t="n">
        <f aca="false">WORKDAY(D24,-Premissas!$B$4,Premissas!$E$5:$E$11)</f>
        <v>46311</v>
      </c>
      <c r="M24" s="21" t="s">
        <v>47</v>
      </c>
      <c r="N24" s="21"/>
      <c r="O24" s="19"/>
    </row>
    <row r="25" customFormat="false" ht="48" hidden="false" customHeight="true" outlineLevel="0" collapsed="false">
      <c r="A25" s="15" t="n">
        <v>21</v>
      </c>
      <c r="B25" s="15" t="s">
        <v>40</v>
      </c>
      <c r="C25" s="15" t="s">
        <v>99</v>
      </c>
      <c r="D25" s="16" t="n">
        <v>46316</v>
      </c>
      <c r="E25" s="15" t="str">
        <f aca="false">CHOOSE(WEEKDAY(D25),"Dom","Seg","Ter","Qua","Qui","Sex","Sáb")</f>
        <v>Qua</v>
      </c>
      <c r="F25" s="17" t="s">
        <v>17</v>
      </c>
      <c r="G25" s="23" t="s">
        <v>52</v>
      </c>
      <c r="H25" s="19" t="s">
        <v>112</v>
      </c>
      <c r="I25" s="19" t="s">
        <v>113</v>
      </c>
      <c r="J25" s="20" t="s">
        <v>114</v>
      </c>
      <c r="K25" s="19" t="s">
        <v>46</v>
      </c>
      <c r="L25" s="16" t="n">
        <f aca="false">WORKDAY(D25,-Premissas!$B$4,Premissas!$E$5:$E$11)</f>
        <v>46314</v>
      </c>
      <c r="M25" s="21" t="s">
        <v>47</v>
      </c>
      <c r="N25" s="21"/>
      <c r="O25" s="19"/>
    </row>
    <row r="26" customFormat="false" ht="48" hidden="false" customHeight="true" outlineLevel="0" collapsed="false">
      <c r="A26" s="15" t="n">
        <v>22</v>
      </c>
      <c r="B26" s="15" t="s">
        <v>40</v>
      </c>
      <c r="C26" s="15" t="s">
        <v>99</v>
      </c>
      <c r="D26" s="16" t="n">
        <v>46316</v>
      </c>
      <c r="E26" s="15" t="str">
        <f aca="false">CHOOSE(WEEKDAY(D26),"Dom","Seg","Ter","Qua","Qui","Sex","Sáb")</f>
        <v>Qua</v>
      </c>
      <c r="F26" s="17" t="s">
        <v>17</v>
      </c>
      <c r="G26" s="22" t="s">
        <v>48</v>
      </c>
      <c r="H26" s="19" t="s">
        <v>115</v>
      </c>
      <c r="I26" s="19" t="s">
        <v>116</v>
      </c>
      <c r="J26" s="20" t="s">
        <v>117</v>
      </c>
      <c r="K26" s="19" t="s">
        <v>46</v>
      </c>
      <c r="L26" s="16" t="n">
        <f aca="false">WORKDAY(D26,-Premissas!$B$4,Premissas!$E$5:$E$11)</f>
        <v>46314</v>
      </c>
      <c r="M26" s="21" t="s">
        <v>47</v>
      </c>
      <c r="N26" s="21"/>
      <c r="O26" s="24" t="s">
        <v>118</v>
      </c>
    </row>
    <row r="27" customFormat="false" ht="48" hidden="false" customHeight="true" outlineLevel="0" collapsed="false">
      <c r="A27" s="15" t="n">
        <v>23</v>
      </c>
      <c r="B27" s="15" t="s">
        <v>40</v>
      </c>
      <c r="C27" s="15" t="s">
        <v>99</v>
      </c>
      <c r="D27" s="16" t="n">
        <v>46316</v>
      </c>
      <c r="E27" s="15" t="str">
        <f aca="false">CHOOSE(WEEKDAY(D27),"Dom","Seg","Ter","Qua","Qui","Sex","Sáb")</f>
        <v>Qua</v>
      </c>
      <c r="F27" s="17" t="s">
        <v>18</v>
      </c>
      <c r="G27" s="18" t="s">
        <v>42</v>
      </c>
      <c r="H27" s="19" t="s">
        <v>77</v>
      </c>
      <c r="I27" s="19" t="s">
        <v>119</v>
      </c>
      <c r="J27" s="20" t="s">
        <v>120</v>
      </c>
      <c r="K27" s="19" t="s">
        <v>70</v>
      </c>
      <c r="L27" s="16" t="n">
        <f aca="false">WORKDAY(D27,-Premissas!$B$4,Premissas!$E$5:$E$11)</f>
        <v>46314</v>
      </c>
      <c r="M27" s="21" t="s">
        <v>47</v>
      </c>
      <c r="N27" s="21"/>
      <c r="O27" s="19"/>
    </row>
    <row r="28" customFormat="false" ht="48" hidden="false" customHeight="true" outlineLevel="0" collapsed="false">
      <c r="A28" s="15" t="n">
        <v>24</v>
      </c>
      <c r="B28" s="15" t="s">
        <v>40</v>
      </c>
      <c r="C28" s="15" t="s">
        <v>99</v>
      </c>
      <c r="D28" s="16" t="n">
        <v>46316</v>
      </c>
      <c r="E28" s="15" t="str">
        <f aca="false">CHOOSE(WEEKDAY(D28),"Dom","Seg","Ter","Qua","Qui","Sex","Sáb")</f>
        <v>Qua</v>
      </c>
      <c r="F28" s="17" t="s">
        <v>18</v>
      </c>
      <c r="G28" s="23" t="s">
        <v>52</v>
      </c>
      <c r="H28" s="19" t="s">
        <v>121</v>
      </c>
      <c r="I28" s="19" t="s">
        <v>122</v>
      </c>
      <c r="J28" s="20" t="s">
        <v>123</v>
      </c>
      <c r="K28" s="19" t="s">
        <v>70</v>
      </c>
      <c r="L28" s="16" t="n">
        <f aca="false">WORKDAY(D28,-Premissas!$B$4,Premissas!$E$5:$E$11)</f>
        <v>46314</v>
      </c>
      <c r="M28" s="21" t="s">
        <v>47</v>
      </c>
      <c r="N28" s="21"/>
      <c r="O28" s="19"/>
    </row>
    <row r="29" customFormat="false" ht="48" hidden="false" customHeight="true" outlineLevel="0" collapsed="false">
      <c r="A29" s="15" t="n">
        <v>25</v>
      </c>
      <c r="B29" s="15" t="s">
        <v>40</v>
      </c>
      <c r="C29" s="15" t="s">
        <v>99</v>
      </c>
      <c r="D29" s="16" t="n">
        <v>46317</v>
      </c>
      <c r="E29" s="15" t="str">
        <f aca="false">CHOOSE(WEEKDAY(D29),"Dom","Seg","Ter","Qua","Qui","Sex","Sáb")</f>
        <v>Qui</v>
      </c>
      <c r="F29" s="17" t="s">
        <v>19</v>
      </c>
      <c r="G29" s="18" t="s">
        <v>42</v>
      </c>
      <c r="H29" s="19" t="s">
        <v>124</v>
      </c>
      <c r="I29" s="19" t="s">
        <v>125</v>
      </c>
      <c r="J29" s="20" t="s">
        <v>126</v>
      </c>
      <c r="K29" s="19" t="s">
        <v>46</v>
      </c>
      <c r="L29" s="16" t="n">
        <f aca="false">WORKDAY(D29,-Premissas!$B$4,Premissas!$E$5:$E$11)</f>
        <v>46315</v>
      </c>
      <c r="M29" s="21" t="s">
        <v>47</v>
      </c>
      <c r="N29" s="21"/>
      <c r="O29" s="19"/>
    </row>
    <row r="30" customFormat="false" ht="48" hidden="false" customHeight="true" outlineLevel="0" collapsed="false">
      <c r="A30" s="15" t="n">
        <v>26</v>
      </c>
      <c r="B30" s="15" t="s">
        <v>40</v>
      </c>
      <c r="C30" s="15" t="s">
        <v>99</v>
      </c>
      <c r="D30" s="16" t="n">
        <v>46317</v>
      </c>
      <c r="E30" s="15" t="str">
        <f aca="false">CHOOSE(WEEKDAY(D30),"Dom","Seg","Ter","Qua","Qui","Sex","Sáb")</f>
        <v>Qui</v>
      </c>
      <c r="F30" s="17" t="s">
        <v>19</v>
      </c>
      <c r="G30" s="23" t="s">
        <v>52</v>
      </c>
      <c r="H30" s="19" t="s">
        <v>127</v>
      </c>
      <c r="I30" s="19" t="s">
        <v>128</v>
      </c>
      <c r="J30" s="20" t="s">
        <v>129</v>
      </c>
      <c r="K30" s="19" t="s">
        <v>46</v>
      </c>
      <c r="L30" s="16" t="n">
        <f aca="false">WORKDAY(D30,-Premissas!$B$4,Premissas!$E$5:$E$11)</f>
        <v>46315</v>
      </c>
      <c r="M30" s="21" t="s">
        <v>47</v>
      </c>
      <c r="N30" s="21"/>
      <c r="O30" s="19"/>
    </row>
    <row r="31" customFormat="false" ht="48" hidden="false" customHeight="true" outlineLevel="0" collapsed="false">
      <c r="A31" s="15" t="n">
        <v>27</v>
      </c>
      <c r="B31" s="15" t="s">
        <v>40</v>
      </c>
      <c r="C31" s="15" t="s">
        <v>99</v>
      </c>
      <c r="D31" s="16" t="n">
        <v>46317</v>
      </c>
      <c r="E31" s="15" t="str">
        <f aca="false">CHOOSE(WEEKDAY(D31),"Dom","Seg","Ter","Qua","Qui","Sex","Sáb")</f>
        <v>Qui</v>
      </c>
      <c r="F31" s="17" t="s">
        <v>20</v>
      </c>
      <c r="G31" s="23" t="s">
        <v>52</v>
      </c>
      <c r="H31" s="19" t="s">
        <v>130</v>
      </c>
      <c r="I31" s="19" t="s">
        <v>131</v>
      </c>
      <c r="J31" s="20" t="s">
        <v>132</v>
      </c>
      <c r="K31" s="19" t="s">
        <v>83</v>
      </c>
      <c r="L31" s="16" t="n">
        <f aca="false">WORKDAY(D31,-Premissas!$B$4,Premissas!$E$5:$E$11)</f>
        <v>46315</v>
      </c>
      <c r="M31" s="21" t="s">
        <v>47</v>
      </c>
      <c r="N31" s="21"/>
      <c r="O31" s="19"/>
    </row>
    <row r="32" customFormat="false" ht="48" hidden="false" customHeight="true" outlineLevel="0" collapsed="false">
      <c r="A32" s="15" t="n">
        <v>28</v>
      </c>
      <c r="B32" s="15" t="s">
        <v>40</v>
      </c>
      <c r="C32" s="15" t="s">
        <v>99</v>
      </c>
      <c r="D32" s="16" t="n">
        <v>46317</v>
      </c>
      <c r="E32" s="15" t="str">
        <f aca="false">CHOOSE(WEEKDAY(D32),"Dom","Seg","Ter","Qua","Qui","Sex","Sáb")</f>
        <v>Qui</v>
      </c>
      <c r="F32" s="17" t="s">
        <v>20</v>
      </c>
      <c r="G32" s="22" t="s">
        <v>48</v>
      </c>
      <c r="H32" s="19" t="s">
        <v>115</v>
      </c>
      <c r="I32" s="19" t="s">
        <v>133</v>
      </c>
      <c r="J32" s="20" t="s">
        <v>134</v>
      </c>
      <c r="K32" s="19" t="s">
        <v>83</v>
      </c>
      <c r="L32" s="16" t="n">
        <f aca="false">WORKDAY(D32,-Premissas!$B$4,Premissas!$E$5:$E$11)</f>
        <v>46315</v>
      </c>
      <c r="M32" s="21" t="s">
        <v>47</v>
      </c>
      <c r="N32" s="21"/>
      <c r="O32" s="19"/>
    </row>
    <row r="33" customFormat="false" ht="48" hidden="false" customHeight="true" outlineLevel="0" collapsed="false">
      <c r="A33" s="15" t="n">
        <v>29</v>
      </c>
      <c r="B33" s="15" t="s">
        <v>40</v>
      </c>
      <c r="C33" s="15" t="s">
        <v>99</v>
      </c>
      <c r="D33" s="16" t="n">
        <v>46318</v>
      </c>
      <c r="E33" s="15" t="str">
        <f aca="false">CHOOSE(WEEKDAY(D33),"Dom","Seg","Ter","Qua","Qui","Sex","Sáb")</f>
        <v>Sex</v>
      </c>
      <c r="F33" s="17" t="s">
        <v>21</v>
      </c>
      <c r="G33" s="18" t="s">
        <v>42</v>
      </c>
      <c r="H33" s="19" t="s">
        <v>135</v>
      </c>
      <c r="I33" s="19" t="s">
        <v>136</v>
      </c>
      <c r="J33" s="20" t="s">
        <v>137</v>
      </c>
      <c r="K33" s="19" t="s">
        <v>46</v>
      </c>
      <c r="L33" s="16" t="n">
        <f aca="false">WORKDAY(D33,-Premissas!$B$4,Premissas!$E$5:$E$11)</f>
        <v>46316</v>
      </c>
      <c r="M33" s="21" t="s">
        <v>47</v>
      </c>
      <c r="N33" s="21"/>
      <c r="O33" s="19"/>
    </row>
    <row r="34" customFormat="false" ht="48" hidden="false" customHeight="true" outlineLevel="0" collapsed="false">
      <c r="A34" s="15" t="n">
        <v>30</v>
      </c>
      <c r="B34" s="15" t="s">
        <v>40</v>
      </c>
      <c r="C34" s="15" t="s">
        <v>99</v>
      </c>
      <c r="D34" s="16" t="n">
        <v>46318</v>
      </c>
      <c r="E34" s="15" t="str">
        <f aca="false">CHOOSE(WEEKDAY(D34),"Dom","Seg","Ter","Qua","Qui","Sex","Sáb")</f>
        <v>Sex</v>
      </c>
      <c r="F34" s="17" t="s">
        <v>21</v>
      </c>
      <c r="G34" s="23" t="s">
        <v>52</v>
      </c>
      <c r="H34" s="19" t="s">
        <v>138</v>
      </c>
      <c r="I34" s="19" t="s">
        <v>139</v>
      </c>
      <c r="J34" s="20" t="s">
        <v>140</v>
      </c>
      <c r="K34" s="19" t="s">
        <v>46</v>
      </c>
      <c r="L34" s="16" t="n">
        <f aca="false">WORKDAY(D34,-Premissas!$B$4,Premissas!$E$5:$E$11)</f>
        <v>46316</v>
      </c>
      <c r="M34" s="21" t="s">
        <v>47</v>
      </c>
      <c r="N34" s="21"/>
      <c r="O34" s="19"/>
    </row>
    <row r="35" customFormat="false" ht="48" hidden="false" customHeight="true" outlineLevel="0" collapsed="false">
      <c r="A35" s="15" t="n">
        <v>31</v>
      </c>
      <c r="B35" s="15" t="s">
        <v>40</v>
      </c>
      <c r="C35" s="15" t="s">
        <v>99</v>
      </c>
      <c r="D35" s="16" t="n">
        <v>46318</v>
      </c>
      <c r="E35" s="15" t="str">
        <f aca="false">CHOOSE(WEEKDAY(D35),"Dom","Seg","Ter","Qua","Qui","Sex","Sáb")</f>
        <v>Sex</v>
      </c>
      <c r="F35" s="17" t="s">
        <v>22</v>
      </c>
      <c r="G35" s="18" t="s">
        <v>42</v>
      </c>
      <c r="H35" s="19" t="s">
        <v>141</v>
      </c>
      <c r="I35" s="19" t="s">
        <v>142</v>
      </c>
      <c r="J35" s="20" t="s">
        <v>98</v>
      </c>
      <c r="K35" s="19" t="s">
        <v>95</v>
      </c>
      <c r="L35" s="16" t="n">
        <f aca="false">WORKDAY(D35,-Premissas!$B$4,Premissas!$E$5:$E$11)</f>
        <v>46316</v>
      </c>
      <c r="M35" s="21" t="s">
        <v>47</v>
      </c>
      <c r="N35" s="21"/>
      <c r="O35" s="19"/>
    </row>
    <row r="36" customFormat="false" ht="48" hidden="false" customHeight="true" outlineLevel="0" collapsed="false">
      <c r="A36" s="15" t="n">
        <v>32</v>
      </c>
      <c r="B36" s="15" t="s">
        <v>40</v>
      </c>
      <c r="C36" s="15" t="s">
        <v>99</v>
      </c>
      <c r="D36" s="16" t="n">
        <v>46318</v>
      </c>
      <c r="E36" s="15" t="str">
        <f aca="false">CHOOSE(WEEKDAY(D36),"Dom","Seg","Ter","Qua","Qui","Sex","Sáb")</f>
        <v>Sex</v>
      </c>
      <c r="F36" s="17" t="s">
        <v>22</v>
      </c>
      <c r="G36" s="23" t="s">
        <v>52</v>
      </c>
      <c r="H36" s="19" t="s">
        <v>143</v>
      </c>
      <c r="I36" s="19" t="s">
        <v>144</v>
      </c>
      <c r="J36" s="20" t="s">
        <v>145</v>
      </c>
      <c r="K36" s="19" t="s">
        <v>95</v>
      </c>
      <c r="L36" s="16" t="n">
        <f aca="false">WORKDAY(D36,-Premissas!$B$4,Premissas!$E$5:$E$11)</f>
        <v>46316</v>
      </c>
      <c r="M36" s="21" t="s">
        <v>47</v>
      </c>
      <c r="N36" s="21"/>
      <c r="O36" s="19"/>
    </row>
    <row r="37" customFormat="false" ht="48" hidden="false" customHeight="true" outlineLevel="0" collapsed="false">
      <c r="A37" s="15" t="n">
        <v>33</v>
      </c>
      <c r="B37" s="15" t="s">
        <v>40</v>
      </c>
      <c r="C37" s="15" t="s">
        <v>146</v>
      </c>
      <c r="D37" s="16" t="n">
        <v>46322</v>
      </c>
      <c r="E37" s="15" t="str">
        <f aca="false">CHOOSE(WEEKDAY(D37),"Dom","Seg","Ter","Qua","Qui","Sex","Sáb")</f>
        <v>Ter</v>
      </c>
      <c r="F37" s="17" t="s">
        <v>15</v>
      </c>
      <c r="G37" s="23" t="s">
        <v>52</v>
      </c>
      <c r="H37" s="19" t="s">
        <v>147</v>
      </c>
      <c r="I37" s="19" t="s">
        <v>148</v>
      </c>
      <c r="J37" s="20" t="s">
        <v>149</v>
      </c>
      <c r="K37" s="19" t="s">
        <v>46</v>
      </c>
      <c r="L37" s="16" t="n">
        <f aca="false">WORKDAY(D37,-Premissas!$B$4,Premissas!$E$5:$E$11)</f>
        <v>46318</v>
      </c>
      <c r="M37" s="21" t="s">
        <v>47</v>
      </c>
      <c r="N37" s="21"/>
      <c r="O37" s="19"/>
    </row>
    <row r="38" customFormat="false" ht="48" hidden="false" customHeight="true" outlineLevel="0" collapsed="false">
      <c r="A38" s="15" t="n">
        <v>34</v>
      </c>
      <c r="B38" s="15" t="s">
        <v>40</v>
      </c>
      <c r="C38" s="15" t="s">
        <v>146</v>
      </c>
      <c r="D38" s="16" t="n">
        <v>46322</v>
      </c>
      <c r="E38" s="15" t="str">
        <f aca="false">CHOOSE(WEEKDAY(D38),"Dom","Seg","Ter","Qua","Qui","Sex","Sáb")</f>
        <v>Ter</v>
      </c>
      <c r="F38" s="17" t="s">
        <v>15</v>
      </c>
      <c r="G38" s="22" t="s">
        <v>48</v>
      </c>
      <c r="H38" s="19" t="s">
        <v>77</v>
      </c>
      <c r="I38" s="19" t="s">
        <v>150</v>
      </c>
      <c r="J38" s="20" t="s">
        <v>151</v>
      </c>
      <c r="K38" s="19" t="s">
        <v>46</v>
      </c>
      <c r="L38" s="16" t="n">
        <f aca="false">WORKDAY(D38,-Premissas!$B$4,Premissas!$E$5:$E$11)</f>
        <v>46318</v>
      </c>
      <c r="M38" s="21" t="s">
        <v>47</v>
      </c>
      <c r="N38" s="21"/>
      <c r="O38" s="19"/>
    </row>
    <row r="39" customFormat="false" ht="48" hidden="false" customHeight="true" outlineLevel="0" collapsed="false">
      <c r="A39" s="15" t="n">
        <v>35</v>
      </c>
      <c r="B39" s="15" t="s">
        <v>40</v>
      </c>
      <c r="C39" s="15" t="s">
        <v>146</v>
      </c>
      <c r="D39" s="16" t="n">
        <v>46322</v>
      </c>
      <c r="E39" s="15" t="str">
        <f aca="false">CHOOSE(WEEKDAY(D39),"Dom","Seg","Ter","Qua","Qui","Sex","Sáb")</f>
        <v>Ter</v>
      </c>
      <c r="F39" s="17" t="s">
        <v>16</v>
      </c>
      <c r="G39" s="18" t="s">
        <v>42</v>
      </c>
      <c r="H39" s="19" t="s">
        <v>152</v>
      </c>
      <c r="I39" s="19" t="s">
        <v>153</v>
      </c>
      <c r="J39" s="20" t="s">
        <v>154</v>
      </c>
      <c r="K39" s="19" t="s">
        <v>56</v>
      </c>
      <c r="L39" s="16" t="n">
        <f aca="false">WORKDAY(D39,-Premissas!$B$4,Premissas!$E$5:$E$11)</f>
        <v>46318</v>
      </c>
      <c r="M39" s="21" t="s">
        <v>47</v>
      </c>
      <c r="N39" s="21"/>
      <c r="O39" s="19"/>
    </row>
    <row r="40" customFormat="false" ht="48" hidden="false" customHeight="true" outlineLevel="0" collapsed="false">
      <c r="A40" s="15" t="n">
        <v>36</v>
      </c>
      <c r="B40" s="15" t="s">
        <v>40</v>
      </c>
      <c r="C40" s="15" t="s">
        <v>146</v>
      </c>
      <c r="D40" s="16" t="n">
        <v>46322</v>
      </c>
      <c r="E40" s="15" t="str">
        <f aca="false">CHOOSE(WEEKDAY(D40),"Dom","Seg","Ter","Qua","Qui","Sex","Sáb")</f>
        <v>Ter</v>
      </c>
      <c r="F40" s="17" t="s">
        <v>16</v>
      </c>
      <c r="G40" s="22" t="s">
        <v>48</v>
      </c>
      <c r="H40" s="19" t="s">
        <v>77</v>
      </c>
      <c r="I40" s="19" t="s">
        <v>155</v>
      </c>
      <c r="J40" s="20" t="s">
        <v>156</v>
      </c>
      <c r="K40" s="19" t="s">
        <v>56</v>
      </c>
      <c r="L40" s="16" t="n">
        <f aca="false">WORKDAY(D40,-Premissas!$B$4,Premissas!$E$5:$E$11)</f>
        <v>46318</v>
      </c>
      <c r="M40" s="21" t="s">
        <v>47</v>
      </c>
      <c r="N40" s="21"/>
      <c r="O40" s="19"/>
    </row>
    <row r="41" customFormat="false" ht="48" hidden="false" customHeight="true" outlineLevel="0" collapsed="false">
      <c r="A41" s="15" t="n">
        <v>37</v>
      </c>
      <c r="B41" s="15" t="s">
        <v>40</v>
      </c>
      <c r="C41" s="15" t="s">
        <v>146</v>
      </c>
      <c r="D41" s="16" t="n">
        <v>46323</v>
      </c>
      <c r="E41" s="15" t="str">
        <f aca="false">CHOOSE(WEEKDAY(D41),"Dom","Seg","Ter","Qua","Qui","Sex","Sáb")</f>
        <v>Qua</v>
      </c>
      <c r="F41" s="17" t="s">
        <v>17</v>
      </c>
      <c r="G41" s="18" t="s">
        <v>42</v>
      </c>
      <c r="H41" s="19" t="s">
        <v>157</v>
      </c>
      <c r="I41" s="19" t="s">
        <v>158</v>
      </c>
      <c r="J41" s="20" t="s">
        <v>159</v>
      </c>
      <c r="K41" s="19" t="s">
        <v>46</v>
      </c>
      <c r="L41" s="16" t="n">
        <f aca="false">WORKDAY(D41,-Premissas!$B$4,Premissas!$E$5:$E$11)</f>
        <v>46321</v>
      </c>
      <c r="M41" s="21" t="s">
        <v>47</v>
      </c>
      <c r="N41" s="21"/>
      <c r="O41" s="19"/>
    </row>
    <row r="42" customFormat="false" ht="48" hidden="false" customHeight="true" outlineLevel="0" collapsed="false">
      <c r="A42" s="15" t="n">
        <v>38</v>
      </c>
      <c r="B42" s="15" t="s">
        <v>40</v>
      </c>
      <c r="C42" s="15" t="s">
        <v>146</v>
      </c>
      <c r="D42" s="16" t="n">
        <v>46323</v>
      </c>
      <c r="E42" s="15" t="str">
        <f aca="false">CHOOSE(WEEKDAY(D42),"Dom","Seg","Ter","Qua","Qui","Sex","Sáb")</f>
        <v>Qua</v>
      </c>
      <c r="F42" s="17" t="s">
        <v>17</v>
      </c>
      <c r="G42" s="23" t="s">
        <v>52</v>
      </c>
      <c r="H42" s="19" t="s">
        <v>160</v>
      </c>
      <c r="I42" s="19" t="s">
        <v>161</v>
      </c>
      <c r="J42" s="20" t="s">
        <v>162</v>
      </c>
      <c r="K42" s="19" t="s">
        <v>46</v>
      </c>
      <c r="L42" s="16" t="n">
        <f aca="false">WORKDAY(D42,-Premissas!$B$4,Premissas!$E$5:$E$11)</f>
        <v>46321</v>
      </c>
      <c r="M42" s="21" t="s">
        <v>47</v>
      </c>
      <c r="N42" s="21"/>
      <c r="O42" s="19"/>
    </row>
    <row r="43" customFormat="false" ht="48" hidden="false" customHeight="true" outlineLevel="0" collapsed="false">
      <c r="A43" s="15" t="n">
        <v>39</v>
      </c>
      <c r="B43" s="15" t="s">
        <v>40</v>
      </c>
      <c r="C43" s="15" t="s">
        <v>146</v>
      </c>
      <c r="D43" s="16" t="n">
        <v>46323</v>
      </c>
      <c r="E43" s="15" t="str">
        <f aca="false">CHOOSE(WEEKDAY(D43),"Dom","Seg","Ter","Qua","Qui","Sex","Sáb")</f>
        <v>Qua</v>
      </c>
      <c r="F43" s="17" t="s">
        <v>18</v>
      </c>
      <c r="G43" s="23" t="s">
        <v>52</v>
      </c>
      <c r="H43" s="19" t="s">
        <v>163</v>
      </c>
      <c r="I43" s="19" t="s">
        <v>164</v>
      </c>
      <c r="J43" s="20" t="s">
        <v>165</v>
      </c>
      <c r="K43" s="19" t="s">
        <v>70</v>
      </c>
      <c r="L43" s="16" t="n">
        <f aca="false">WORKDAY(D43,-Premissas!$B$4,Premissas!$E$5:$E$11)</f>
        <v>46321</v>
      </c>
      <c r="M43" s="21" t="s">
        <v>47</v>
      </c>
      <c r="N43" s="21"/>
      <c r="O43" s="19"/>
    </row>
    <row r="44" customFormat="false" ht="48" hidden="false" customHeight="true" outlineLevel="0" collapsed="false">
      <c r="A44" s="15" t="n">
        <v>40</v>
      </c>
      <c r="B44" s="15" t="s">
        <v>40</v>
      </c>
      <c r="C44" s="15" t="s">
        <v>146</v>
      </c>
      <c r="D44" s="16" t="n">
        <v>46323</v>
      </c>
      <c r="E44" s="15" t="str">
        <f aca="false">CHOOSE(WEEKDAY(D44),"Dom","Seg","Ter","Qua","Qui","Sex","Sáb")</f>
        <v>Qua</v>
      </c>
      <c r="F44" s="17" t="s">
        <v>18</v>
      </c>
      <c r="G44" s="22" t="s">
        <v>48</v>
      </c>
      <c r="H44" s="19" t="s">
        <v>166</v>
      </c>
      <c r="I44" s="19" t="s">
        <v>167</v>
      </c>
      <c r="J44" s="20" t="s">
        <v>168</v>
      </c>
      <c r="K44" s="19" t="s">
        <v>70</v>
      </c>
      <c r="L44" s="16" t="n">
        <f aca="false">WORKDAY(D44,-Premissas!$B$4,Premissas!$E$5:$E$11)</f>
        <v>46321</v>
      </c>
      <c r="M44" s="21" t="s">
        <v>47</v>
      </c>
      <c r="N44" s="21"/>
      <c r="O44" s="19"/>
    </row>
    <row r="45" customFormat="false" ht="48" hidden="false" customHeight="true" outlineLevel="0" collapsed="false">
      <c r="A45" s="15" t="n">
        <v>41</v>
      </c>
      <c r="B45" s="15" t="s">
        <v>40</v>
      </c>
      <c r="C45" s="15" t="s">
        <v>146</v>
      </c>
      <c r="D45" s="16" t="n">
        <v>46324</v>
      </c>
      <c r="E45" s="15" t="str">
        <f aca="false">CHOOSE(WEEKDAY(D45),"Dom","Seg","Ter","Qua","Qui","Sex","Sáb")</f>
        <v>Qui</v>
      </c>
      <c r="F45" s="17" t="s">
        <v>19</v>
      </c>
      <c r="G45" s="18" t="s">
        <v>42</v>
      </c>
      <c r="H45" s="19" t="s">
        <v>169</v>
      </c>
      <c r="I45" s="19" t="s">
        <v>170</v>
      </c>
      <c r="J45" s="20" t="s">
        <v>171</v>
      </c>
      <c r="K45" s="19" t="s">
        <v>46</v>
      </c>
      <c r="L45" s="16" t="n">
        <f aca="false">WORKDAY(D45,-Premissas!$B$4,Premissas!$E$5:$E$11)</f>
        <v>46322</v>
      </c>
      <c r="M45" s="21" t="s">
        <v>47</v>
      </c>
      <c r="N45" s="21"/>
      <c r="O45" s="19"/>
    </row>
    <row r="46" customFormat="false" ht="48" hidden="false" customHeight="true" outlineLevel="0" collapsed="false">
      <c r="A46" s="15" t="n">
        <v>42</v>
      </c>
      <c r="B46" s="15" t="s">
        <v>40</v>
      </c>
      <c r="C46" s="15" t="s">
        <v>146</v>
      </c>
      <c r="D46" s="16" t="n">
        <v>46324</v>
      </c>
      <c r="E46" s="15" t="str">
        <f aca="false">CHOOSE(WEEKDAY(D46),"Dom","Seg","Ter","Qua","Qui","Sex","Sáb")</f>
        <v>Qui</v>
      </c>
      <c r="F46" s="17" t="s">
        <v>19</v>
      </c>
      <c r="G46" s="22" t="s">
        <v>48</v>
      </c>
      <c r="H46" s="19" t="s">
        <v>172</v>
      </c>
      <c r="I46" s="19" t="s">
        <v>173</v>
      </c>
      <c r="J46" s="20" t="s">
        <v>174</v>
      </c>
      <c r="K46" s="19" t="s">
        <v>46</v>
      </c>
      <c r="L46" s="16" t="n">
        <f aca="false">WORKDAY(D46,-Premissas!$B$4,Premissas!$E$5:$E$11)</f>
        <v>46322</v>
      </c>
      <c r="M46" s="21" t="s">
        <v>47</v>
      </c>
      <c r="N46" s="21"/>
      <c r="O46" s="19"/>
    </row>
    <row r="47" customFormat="false" ht="48" hidden="false" customHeight="true" outlineLevel="0" collapsed="false">
      <c r="A47" s="15" t="n">
        <v>43</v>
      </c>
      <c r="B47" s="15" t="s">
        <v>40</v>
      </c>
      <c r="C47" s="15" t="s">
        <v>146</v>
      </c>
      <c r="D47" s="16" t="n">
        <v>46324</v>
      </c>
      <c r="E47" s="15" t="str">
        <f aca="false">CHOOSE(WEEKDAY(D47),"Dom","Seg","Ter","Qua","Qui","Sex","Sáb")</f>
        <v>Qui</v>
      </c>
      <c r="F47" s="17" t="s">
        <v>20</v>
      </c>
      <c r="G47" s="18" t="s">
        <v>42</v>
      </c>
      <c r="H47" s="19" t="s">
        <v>175</v>
      </c>
      <c r="I47" s="19" t="s">
        <v>176</v>
      </c>
      <c r="J47" s="20" t="s">
        <v>177</v>
      </c>
      <c r="K47" s="19" t="s">
        <v>83</v>
      </c>
      <c r="L47" s="16" t="n">
        <f aca="false">WORKDAY(D47,-Premissas!$B$4,Premissas!$E$5:$E$11)</f>
        <v>46322</v>
      </c>
      <c r="M47" s="21" t="s">
        <v>47</v>
      </c>
      <c r="N47" s="21"/>
      <c r="O47" s="19"/>
    </row>
    <row r="48" customFormat="false" ht="48" hidden="false" customHeight="true" outlineLevel="0" collapsed="false">
      <c r="A48" s="15" t="n">
        <v>44</v>
      </c>
      <c r="B48" s="15" t="s">
        <v>40</v>
      </c>
      <c r="C48" s="15" t="s">
        <v>146</v>
      </c>
      <c r="D48" s="16" t="n">
        <v>46324</v>
      </c>
      <c r="E48" s="15" t="str">
        <f aca="false">CHOOSE(WEEKDAY(D48),"Dom","Seg","Ter","Qua","Qui","Sex","Sáb")</f>
        <v>Qui</v>
      </c>
      <c r="F48" s="17" t="s">
        <v>20</v>
      </c>
      <c r="G48" s="23" t="s">
        <v>52</v>
      </c>
      <c r="H48" s="19" t="s">
        <v>178</v>
      </c>
      <c r="I48" s="19" t="s">
        <v>179</v>
      </c>
      <c r="J48" s="20" t="s">
        <v>180</v>
      </c>
      <c r="K48" s="19" t="s">
        <v>83</v>
      </c>
      <c r="L48" s="16" t="n">
        <f aca="false">WORKDAY(D48,-Premissas!$B$4,Premissas!$E$5:$E$11)</f>
        <v>46322</v>
      </c>
      <c r="M48" s="21" t="s">
        <v>47</v>
      </c>
      <c r="N48" s="21"/>
      <c r="O48" s="19"/>
    </row>
    <row r="49" customFormat="false" ht="48" hidden="false" customHeight="true" outlineLevel="0" collapsed="false">
      <c r="A49" s="15" t="n">
        <v>45</v>
      </c>
      <c r="B49" s="15" t="s">
        <v>40</v>
      </c>
      <c r="C49" s="15" t="s">
        <v>146</v>
      </c>
      <c r="D49" s="16" t="n">
        <v>46325</v>
      </c>
      <c r="E49" s="15" t="str">
        <f aca="false">CHOOSE(WEEKDAY(D49),"Dom","Seg","Ter","Qua","Qui","Sex","Sáb")</f>
        <v>Sex</v>
      </c>
      <c r="F49" s="17" t="s">
        <v>21</v>
      </c>
      <c r="G49" s="23" t="s">
        <v>52</v>
      </c>
      <c r="H49" s="19" t="s">
        <v>181</v>
      </c>
      <c r="I49" s="19" t="s">
        <v>182</v>
      </c>
      <c r="J49" s="20" t="s">
        <v>183</v>
      </c>
      <c r="K49" s="19" t="s">
        <v>46</v>
      </c>
      <c r="L49" s="16" t="n">
        <f aca="false">WORKDAY(D49,-Premissas!$B$4,Premissas!$E$5:$E$11)</f>
        <v>46323</v>
      </c>
      <c r="M49" s="21" t="s">
        <v>47</v>
      </c>
      <c r="N49" s="21"/>
      <c r="O49" s="19"/>
    </row>
    <row r="50" customFormat="false" ht="48" hidden="false" customHeight="true" outlineLevel="0" collapsed="false">
      <c r="A50" s="15" t="n">
        <v>46</v>
      </c>
      <c r="B50" s="15" t="s">
        <v>40</v>
      </c>
      <c r="C50" s="15" t="s">
        <v>146</v>
      </c>
      <c r="D50" s="16" t="n">
        <v>46325</v>
      </c>
      <c r="E50" s="15" t="str">
        <f aca="false">CHOOSE(WEEKDAY(D50),"Dom","Seg","Ter","Qua","Qui","Sex","Sáb")</f>
        <v>Sex</v>
      </c>
      <c r="F50" s="17" t="s">
        <v>21</v>
      </c>
      <c r="G50" s="22" t="s">
        <v>48</v>
      </c>
      <c r="H50" s="19" t="s">
        <v>184</v>
      </c>
      <c r="I50" s="19" t="s">
        <v>185</v>
      </c>
      <c r="J50" s="20" t="s">
        <v>186</v>
      </c>
      <c r="K50" s="19" t="s">
        <v>46</v>
      </c>
      <c r="L50" s="16" t="n">
        <f aca="false">WORKDAY(D50,-Premissas!$B$4,Premissas!$E$5:$E$11)</f>
        <v>46323</v>
      </c>
      <c r="M50" s="21" t="s">
        <v>47</v>
      </c>
      <c r="N50" s="21"/>
      <c r="O50" s="19"/>
    </row>
    <row r="51" customFormat="false" ht="48" hidden="false" customHeight="true" outlineLevel="0" collapsed="false">
      <c r="A51" s="15" t="n">
        <v>47</v>
      </c>
      <c r="B51" s="15" t="s">
        <v>40</v>
      </c>
      <c r="C51" s="15" t="s">
        <v>146</v>
      </c>
      <c r="D51" s="16" t="n">
        <v>46325</v>
      </c>
      <c r="E51" s="15" t="str">
        <f aca="false">CHOOSE(WEEKDAY(D51),"Dom","Seg","Ter","Qua","Qui","Sex","Sáb")</f>
        <v>Sex</v>
      </c>
      <c r="F51" s="17" t="s">
        <v>22</v>
      </c>
      <c r="G51" s="18" t="s">
        <v>42</v>
      </c>
      <c r="H51" s="19" t="s">
        <v>187</v>
      </c>
      <c r="I51" s="19" t="s">
        <v>188</v>
      </c>
      <c r="J51" s="20" t="s">
        <v>189</v>
      </c>
      <c r="K51" s="19" t="s">
        <v>95</v>
      </c>
      <c r="L51" s="16" t="n">
        <f aca="false">WORKDAY(D51,-Premissas!$B$4,Premissas!$E$5:$E$11)</f>
        <v>46323</v>
      </c>
      <c r="M51" s="21" t="s">
        <v>47</v>
      </c>
      <c r="N51" s="21"/>
      <c r="O51" s="24" t="s">
        <v>190</v>
      </c>
    </row>
    <row r="52" customFormat="false" ht="48" hidden="false" customHeight="true" outlineLevel="0" collapsed="false">
      <c r="A52" s="15" t="n">
        <v>48</v>
      </c>
      <c r="B52" s="15" t="s">
        <v>40</v>
      </c>
      <c r="C52" s="15" t="s">
        <v>146</v>
      </c>
      <c r="D52" s="16" t="n">
        <v>46325</v>
      </c>
      <c r="E52" s="15" t="str">
        <f aca="false">CHOOSE(WEEKDAY(D52),"Dom","Seg","Ter","Qua","Qui","Sex","Sáb")</f>
        <v>Sex</v>
      </c>
      <c r="F52" s="17" t="s">
        <v>22</v>
      </c>
      <c r="G52" s="22" t="s">
        <v>48</v>
      </c>
      <c r="H52" s="19" t="s">
        <v>191</v>
      </c>
      <c r="I52" s="19" t="s">
        <v>192</v>
      </c>
      <c r="J52" s="20" t="s">
        <v>189</v>
      </c>
      <c r="K52" s="19" t="s">
        <v>95</v>
      </c>
      <c r="L52" s="16" t="n">
        <f aca="false">WORKDAY(D52,-Premissas!$B$4,Premissas!$E$5:$E$11)</f>
        <v>46323</v>
      </c>
      <c r="M52" s="21" t="s">
        <v>47</v>
      </c>
      <c r="N52" s="21"/>
      <c r="O52" s="24" t="s">
        <v>190</v>
      </c>
    </row>
    <row r="53" customFormat="false" ht="48" hidden="false" customHeight="true" outlineLevel="0" collapsed="false">
      <c r="A53" s="15" t="n">
        <v>49</v>
      </c>
      <c r="B53" s="15" t="s">
        <v>193</v>
      </c>
      <c r="C53" s="15" t="s">
        <v>194</v>
      </c>
      <c r="D53" s="16" t="n">
        <v>46329</v>
      </c>
      <c r="E53" s="15" t="str">
        <f aca="false">CHOOSE(WEEKDAY(D53),"Dom","Seg","Ter","Qua","Qui","Sex","Sáb")</f>
        <v>Ter</v>
      </c>
      <c r="F53" s="17" t="s">
        <v>15</v>
      </c>
      <c r="G53" s="18" t="s">
        <v>42</v>
      </c>
      <c r="H53" s="19" t="s">
        <v>195</v>
      </c>
      <c r="I53" s="19" t="s">
        <v>196</v>
      </c>
      <c r="J53" s="20" t="s">
        <v>197</v>
      </c>
      <c r="K53" s="19" t="s">
        <v>46</v>
      </c>
      <c r="L53" s="16" t="n">
        <f aca="false">WORKDAY(D53,-Premissas!$B$4,Premissas!$E$5:$E$11)</f>
        <v>46324</v>
      </c>
      <c r="M53" s="21" t="s">
        <v>47</v>
      </c>
      <c r="N53" s="21"/>
      <c r="O53" s="19"/>
    </row>
    <row r="54" customFormat="false" ht="48" hidden="false" customHeight="true" outlineLevel="0" collapsed="false">
      <c r="A54" s="15" t="n">
        <v>50</v>
      </c>
      <c r="B54" s="15" t="s">
        <v>193</v>
      </c>
      <c r="C54" s="15" t="s">
        <v>194</v>
      </c>
      <c r="D54" s="16" t="n">
        <v>46329</v>
      </c>
      <c r="E54" s="15" t="str">
        <f aca="false">CHOOSE(WEEKDAY(D54),"Dom","Seg","Ter","Qua","Qui","Sex","Sáb")</f>
        <v>Ter</v>
      </c>
      <c r="F54" s="17" t="s">
        <v>16</v>
      </c>
      <c r="G54" s="23" t="s">
        <v>52</v>
      </c>
      <c r="H54" s="19" t="s">
        <v>198</v>
      </c>
      <c r="I54" s="19" t="s">
        <v>199</v>
      </c>
      <c r="J54" s="20" t="s">
        <v>200</v>
      </c>
      <c r="K54" s="19" t="s">
        <v>56</v>
      </c>
      <c r="L54" s="16" t="n">
        <f aca="false">WORKDAY(D54,-Premissas!$B$4,Premissas!$E$5:$E$11)</f>
        <v>46324</v>
      </c>
      <c r="M54" s="21" t="s">
        <v>47</v>
      </c>
      <c r="N54" s="21"/>
      <c r="O54" s="19"/>
    </row>
    <row r="55" customFormat="false" ht="48" hidden="false" customHeight="true" outlineLevel="0" collapsed="false">
      <c r="A55" s="15" t="n">
        <v>51</v>
      </c>
      <c r="B55" s="15" t="s">
        <v>193</v>
      </c>
      <c r="C55" s="15" t="s">
        <v>194</v>
      </c>
      <c r="D55" s="16" t="n">
        <v>46330</v>
      </c>
      <c r="E55" s="15" t="str">
        <f aca="false">CHOOSE(WEEKDAY(D55),"Dom","Seg","Ter","Qua","Qui","Sex","Sáb")</f>
        <v>Qua</v>
      </c>
      <c r="F55" s="17" t="s">
        <v>17</v>
      </c>
      <c r="G55" s="18" t="s">
        <v>42</v>
      </c>
      <c r="H55" s="19" t="s">
        <v>201</v>
      </c>
      <c r="I55" s="19" t="s">
        <v>202</v>
      </c>
      <c r="J55" s="20" t="s">
        <v>203</v>
      </c>
      <c r="K55" s="19" t="s">
        <v>46</v>
      </c>
      <c r="L55" s="16" t="n">
        <f aca="false">WORKDAY(D55,-Premissas!$B$4,Premissas!$E$5:$E$11)</f>
        <v>46325</v>
      </c>
      <c r="M55" s="21" t="s">
        <v>47</v>
      </c>
      <c r="N55" s="21"/>
      <c r="O55" s="24" t="s">
        <v>204</v>
      </c>
    </row>
    <row r="56" customFormat="false" ht="48" hidden="false" customHeight="true" outlineLevel="0" collapsed="false">
      <c r="A56" s="15" t="n">
        <v>52</v>
      </c>
      <c r="B56" s="15" t="s">
        <v>193</v>
      </c>
      <c r="C56" s="15" t="s">
        <v>194</v>
      </c>
      <c r="D56" s="16" t="n">
        <v>46330</v>
      </c>
      <c r="E56" s="15" t="str">
        <f aca="false">CHOOSE(WEEKDAY(D56),"Dom","Seg","Ter","Qua","Qui","Sex","Sáb")</f>
        <v>Qua</v>
      </c>
      <c r="F56" s="17" t="s">
        <v>18</v>
      </c>
      <c r="G56" s="23" t="s">
        <v>52</v>
      </c>
      <c r="H56" s="19" t="s">
        <v>205</v>
      </c>
      <c r="I56" s="19" t="s">
        <v>206</v>
      </c>
      <c r="J56" s="20" t="s">
        <v>207</v>
      </c>
      <c r="K56" s="19" t="s">
        <v>70</v>
      </c>
      <c r="L56" s="16" t="n">
        <f aca="false">WORKDAY(D56,-Premissas!$B$4,Premissas!$E$5:$E$11)</f>
        <v>46325</v>
      </c>
      <c r="M56" s="21" t="s">
        <v>47</v>
      </c>
      <c r="N56" s="21"/>
      <c r="O56" s="19"/>
    </row>
    <row r="57" customFormat="false" ht="48" hidden="false" customHeight="true" outlineLevel="0" collapsed="false">
      <c r="A57" s="15" t="n">
        <v>53</v>
      </c>
      <c r="B57" s="15" t="s">
        <v>193</v>
      </c>
      <c r="C57" s="15" t="s">
        <v>194</v>
      </c>
      <c r="D57" s="16" t="n">
        <v>46331</v>
      </c>
      <c r="E57" s="15" t="str">
        <f aca="false">CHOOSE(WEEKDAY(D57),"Dom","Seg","Ter","Qua","Qui","Sex","Sáb")</f>
        <v>Qui</v>
      </c>
      <c r="F57" s="17" t="s">
        <v>19</v>
      </c>
      <c r="G57" s="18" t="s">
        <v>42</v>
      </c>
      <c r="H57" s="19" t="s">
        <v>208</v>
      </c>
      <c r="I57" s="19" t="s">
        <v>209</v>
      </c>
      <c r="J57" s="20" t="s">
        <v>210</v>
      </c>
      <c r="K57" s="19" t="s">
        <v>46</v>
      </c>
      <c r="L57" s="16" t="n">
        <f aca="false">WORKDAY(D57,-Premissas!$B$4,Premissas!$E$5:$E$11)</f>
        <v>46329</v>
      </c>
      <c r="M57" s="21" t="s">
        <v>47</v>
      </c>
      <c r="N57" s="21"/>
      <c r="O57" s="19"/>
    </row>
    <row r="58" customFormat="false" ht="48" hidden="false" customHeight="true" outlineLevel="0" collapsed="false">
      <c r="A58" s="15" t="n">
        <v>54</v>
      </c>
      <c r="B58" s="15" t="s">
        <v>193</v>
      </c>
      <c r="C58" s="15" t="s">
        <v>194</v>
      </c>
      <c r="D58" s="16" t="n">
        <v>46331</v>
      </c>
      <c r="E58" s="15" t="str">
        <f aca="false">CHOOSE(WEEKDAY(D58),"Dom","Seg","Ter","Qua","Qui","Sex","Sáb")</f>
        <v>Qui</v>
      </c>
      <c r="F58" s="17" t="s">
        <v>20</v>
      </c>
      <c r="G58" s="23" t="s">
        <v>52</v>
      </c>
      <c r="H58" s="19" t="s">
        <v>211</v>
      </c>
      <c r="I58" s="19" t="s">
        <v>212</v>
      </c>
      <c r="J58" s="20" t="s">
        <v>213</v>
      </c>
      <c r="K58" s="19" t="s">
        <v>83</v>
      </c>
      <c r="L58" s="16" t="n">
        <f aca="false">WORKDAY(D58,-Premissas!$B$4,Premissas!$E$5:$E$11)</f>
        <v>46329</v>
      </c>
      <c r="M58" s="21" t="s">
        <v>47</v>
      </c>
      <c r="N58" s="21"/>
      <c r="O58" s="19"/>
    </row>
    <row r="59" customFormat="false" ht="48" hidden="false" customHeight="true" outlineLevel="0" collapsed="false">
      <c r="A59" s="15" t="n">
        <v>55</v>
      </c>
      <c r="B59" s="15" t="s">
        <v>193</v>
      </c>
      <c r="C59" s="15" t="s">
        <v>194</v>
      </c>
      <c r="D59" s="16" t="n">
        <v>46332</v>
      </c>
      <c r="E59" s="15" t="str">
        <f aca="false">CHOOSE(WEEKDAY(D59),"Dom","Seg","Ter","Qua","Qui","Sex","Sáb")</f>
        <v>Sex</v>
      </c>
      <c r="F59" s="17" t="s">
        <v>21</v>
      </c>
      <c r="G59" s="18" t="s">
        <v>42</v>
      </c>
      <c r="H59" s="19" t="s">
        <v>214</v>
      </c>
      <c r="I59" s="19" t="s">
        <v>215</v>
      </c>
      <c r="J59" s="20" t="s">
        <v>216</v>
      </c>
      <c r="K59" s="19" t="s">
        <v>46</v>
      </c>
      <c r="L59" s="16" t="n">
        <f aca="false">WORKDAY(D59,-Premissas!$B$4,Premissas!$E$5:$E$11)</f>
        <v>46330</v>
      </c>
      <c r="M59" s="21" t="s">
        <v>47</v>
      </c>
      <c r="N59" s="21"/>
      <c r="O59" s="19"/>
    </row>
    <row r="60" customFormat="false" ht="48" hidden="false" customHeight="true" outlineLevel="0" collapsed="false">
      <c r="A60" s="15" t="n">
        <v>56</v>
      </c>
      <c r="B60" s="15" t="s">
        <v>193</v>
      </c>
      <c r="C60" s="15" t="s">
        <v>194</v>
      </c>
      <c r="D60" s="16" t="n">
        <v>46332</v>
      </c>
      <c r="E60" s="15" t="str">
        <f aca="false">CHOOSE(WEEKDAY(D60),"Dom","Seg","Ter","Qua","Qui","Sex","Sáb")</f>
        <v>Sex</v>
      </c>
      <c r="F60" s="17" t="s">
        <v>22</v>
      </c>
      <c r="G60" s="23" t="s">
        <v>52</v>
      </c>
      <c r="H60" s="19" t="s">
        <v>217</v>
      </c>
      <c r="I60" s="19" t="s">
        <v>218</v>
      </c>
      <c r="J60" s="20" t="s">
        <v>219</v>
      </c>
      <c r="K60" s="19" t="s">
        <v>95</v>
      </c>
      <c r="L60" s="16" t="n">
        <f aca="false">WORKDAY(D60,-Premissas!$B$4,Premissas!$E$5:$E$11)</f>
        <v>46330</v>
      </c>
      <c r="M60" s="21" t="s">
        <v>47</v>
      </c>
      <c r="N60" s="21"/>
      <c r="O60" s="19"/>
    </row>
    <row r="61" customFormat="false" ht="48" hidden="false" customHeight="true" outlineLevel="0" collapsed="false">
      <c r="A61" s="15" t="n">
        <v>57</v>
      </c>
      <c r="B61" s="15" t="s">
        <v>193</v>
      </c>
      <c r="C61" s="15" t="s">
        <v>220</v>
      </c>
      <c r="D61" s="16" t="n">
        <v>46336</v>
      </c>
      <c r="E61" s="15" t="str">
        <f aca="false">CHOOSE(WEEKDAY(D61),"Dom","Seg","Ter","Qua","Qui","Sex","Sáb")</f>
        <v>Ter</v>
      </c>
      <c r="F61" s="17" t="s">
        <v>15</v>
      </c>
      <c r="G61" s="23" t="s">
        <v>52</v>
      </c>
      <c r="H61" s="19" t="s">
        <v>221</v>
      </c>
      <c r="I61" s="19" t="s">
        <v>222</v>
      </c>
      <c r="J61" s="20" t="s">
        <v>223</v>
      </c>
      <c r="K61" s="19" t="s">
        <v>46</v>
      </c>
      <c r="L61" s="16" t="n">
        <f aca="false">WORKDAY(D61,-Premissas!$B$4,Premissas!$E$5:$E$11)</f>
        <v>46332</v>
      </c>
      <c r="M61" s="21" t="s">
        <v>47</v>
      </c>
      <c r="N61" s="21"/>
      <c r="O61" s="19"/>
    </row>
    <row r="62" customFormat="false" ht="48" hidden="false" customHeight="true" outlineLevel="0" collapsed="false">
      <c r="A62" s="15" t="n">
        <v>58</v>
      </c>
      <c r="B62" s="15" t="s">
        <v>193</v>
      </c>
      <c r="C62" s="15" t="s">
        <v>220</v>
      </c>
      <c r="D62" s="16" t="n">
        <v>46336</v>
      </c>
      <c r="E62" s="15" t="str">
        <f aca="false">CHOOSE(WEEKDAY(D62),"Dom","Seg","Ter","Qua","Qui","Sex","Sáb")</f>
        <v>Ter</v>
      </c>
      <c r="F62" s="17" t="s">
        <v>15</v>
      </c>
      <c r="G62" s="22" t="s">
        <v>48</v>
      </c>
      <c r="H62" s="19" t="s">
        <v>224</v>
      </c>
      <c r="I62" s="19" t="s">
        <v>225</v>
      </c>
      <c r="J62" s="20" t="s">
        <v>226</v>
      </c>
      <c r="K62" s="19" t="s">
        <v>46</v>
      </c>
      <c r="L62" s="16" t="n">
        <f aca="false">WORKDAY(D62,-Premissas!$B$4,Premissas!$E$5:$E$11)</f>
        <v>46332</v>
      </c>
      <c r="M62" s="21" t="s">
        <v>47</v>
      </c>
      <c r="N62" s="21"/>
      <c r="O62" s="19"/>
    </row>
    <row r="63" customFormat="false" ht="48" hidden="false" customHeight="true" outlineLevel="0" collapsed="false">
      <c r="A63" s="15" t="n">
        <v>59</v>
      </c>
      <c r="B63" s="15" t="s">
        <v>193</v>
      </c>
      <c r="C63" s="15" t="s">
        <v>220</v>
      </c>
      <c r="D63" s="16" t="n">
        <v>46336</v>
      </c>
      <c r="E63" s="15" t="str">
        <f aca="false">CHOOSE(WEEKDAY(D63),"Dom","Seg","Ter","Qua","Qui","Sex","Sáb")</f>
        <v>Ter</v>
      </c>
      <c r="F63" s="17" t="s">
        <v>16</v>
      </c>
      <c r="G63" s="18" t="s">
        <v>42</v>
      </c>
      <c r="H63" s="19" t="s">
        <v>227</v>
      </c>
      <c r="I63" s="19" t="s">
        <v>228</v>
      </c>
      <c r="J63" s="20" t="s">
        <v>229</v>
      </c>
      <c r="K63" s="19" t="s">
        <v>56</v>
      </c>
      <c r="L63" s="16" t="n">
        <f aca="false">WORKDAY(D63,-Premissas!$B$4,Premissas!$E$5:$E$11)</f>
        <v>46332</v>
      </c>
      <c r="M63" s="21" t="s">
        <v>47</v>
      </c>
      <c r="N63" s="21"/>
      <c r="O63" s="19"/>
    </row>
    <row r="64" customFormat="false" ht="48" hidden="false" customHeight="true" outlineLevel="0" collapsed="false">
      <c r="A64" s="15" t="n">
        <v>60</v>
      </c>
      <c r="B64" s="15" t="s">
        <v>193</v>
      </c>
      <c r="C64" s="15" t="s">
        <v>220</v>
      </c>
      <c r="D64" s="16" t="n">
        <v>46336</v>
      </c>
      <c r="E64" s="15" t="str">
        <f aca="false">CHOOSE(WEEKDAY(D64),"Dom","Seg","Ter","Qua","Qui","Sex","Sáb")</f>
        <v>Ter</v>
      </c>
      <c r="F64" s="17" t="s">
        <v>16</v>
      </c>
      <c r="G64" s="22" t="s">
        <v>48</v>
      </c>
      <c r="H64" s="19" t="s">
        <v>230</v>
      </c>
      <c r="I64" s="19" t="s">
        <v>231</v>
      </c>
      <c r="J64" s="20" t="s">
        <v>232</v>
      </c>
      <c r="K64" s="19" t="s">
        <v>56</v>
      </c>
      <c r="L64" s="16" t="n">
        <f aca="false">WORKDAY(D64,-Premissas!$B$4,Premissas!$E$5:$E$11)</f>
        <v>46332</v>
      </c>
      <c r="M64" s="21" t="s">
        <v>47</v>
      </c>
      <c r="N64" s="21"/>
      <c r="O64" s="24" t="s">
        <v>57</v>
      </c>
    </row>
    <row r="65" customFormat="false" ht="48" hidden="false" customHeight="true" outlineLevel="0" collapsed="false">
      <c r="A65" s="15" t="n">
        <v>61</v>
      </c>
      <c r="B65" s="15" t="s">
        <v>193</v>
      </c>
      <c r="C65" s="15" t="s">
        <v>220</v>
      </c>
      <c r="D65" s="16" t="n">
        <v>46337</v>
      </c>
      <c r="E65" s="15" t="str">
        <f aca="false">CHOOSE(WEEKDAY(D65),"Dom","Seg","Ter","Qua","Qui","Sex","Sáb")</f>
        <v>Qua</v>
      </c>
      <c r="F65" s="17" t="s">
        <v>17</v>
      </c>
      <c r="G65" s="23" t="s">
        <v>52</v>
      </c>
      <c r="H65" s="19" t="s">
        <v>201</v>
      </c>
      <c r="I65" s="19" t="s">
        <v>233</v>
      </c>
      <c r="J65" s="20" t="s">
        <v>234</v>
      </c>
      <c r="K65" s="19" t="s">
        <v>46</v>
      </c>
      <c r="L65" s="16" t="n">
        <f aca="false">WORKDAY(D65,-Premissas!$B$4,Premissas!$E$5:$E$11)</f>
        <v>46335</v>
      </c>
      <c r="M65" s="21" t="s">
        <v>47</v>
      </c>
      <c r="N65" s="21"/>
      <c r="O65" s="24" t="s">
        <v>204</v>
      </c>
    </row>
    <row r="66" customFormat="false" ht="48" hidden="false" customHeight="true" outlineLevel="0" collapsed="false">
      <c r="A66" s="15" t="n">
        <v>62</v>
      </c>
      <c r="B66" s="15" t="s">
        <v>193</v>
      </c>
      <c r="C66" s="15" t="s">
        <v>220</v>
      </c>
      <c r="D66" s="16" t="n">
        <v>46337</v>
      </c>
      <c r="E66" s="15" t="str">
        <f aca="false">CHOOSE(WEEKDAY(D66),"Dom","Seg","Ter","Qua","Qui","Sex","Sáb")</f>
        <v>Qua</v>
      </c>
      <c r="F66" s="17" t="s">
        <v>17</v>
      </c>
      <c r="G66" s="22" t="s">
        <v>48</v>
      </c>
      <c r="H66" s="19" t="s">
        <v>201</v>
      </c>
      <c r="I66" s="19" t="s">
        <v>235</v>
      </c>
      <c r="J66" s="20" t="s">
        <v>236</v>
      </c>
      <c r="K66" s="19" t="s">
        <v>46</v>
      </c>
      <c r="L66" s="16" t="n">
        <f aca="false">WORKDAY(D66,-Premissas!$B$4,Premissas!$E$5:$E$11)</f>
        <v>46335</v>
      </c>
      <c r="M66" s="21" t="s">
        <v>47</v>
      </c>
      <c r="N66" s="21"/>
      <c r="O66" s="24" t="s">
        <v>204</v>
      </c>
    </row>
    <row r="67" customFormat="false" ht="48" hidden="false" customHeight="true" outlineLevel="0" collapsed="false">
      <c r="A67" s="15" t="n">
        <v>63</v>
      </c>
      <c r="B67" s="15" t="s">
        <v>193</v>
      </c>
      <c r="C67" s="15" t="s">
        <v>220</v>
      </c>
      <c r="D67" s="16" t="n">
        <v>46337</v>
      </c>
      <c r="E67" s="15" t="str">
        <f aca="false">CHOOSE(WEEKDAY(D67),"Dom","Seg","Ter","Qua","Qui","Sex","Sáb")</f>
        <v>Qua</v>
      </c>
      <c r="F67" s="17" t="s">
        <v>18</v>
      </c>
      <c r="G67" s="18" t="s">
        <v>42</v>
      </c>
      <c r="H67" s="19" t="s">
        <v>237</v>
      </c>
      <c r="I67" s="19" t="s">
        <v>238</v>
      </c>
      <c r="J67" s="20" t="s">
        <v>239</v>
      </c>
      <c r="K67" s="19" t="s">
        <v>70</v>
      </c>
      <c r="L67" s="16" t="n">
        <f aca="false">WORKDAY(D67,-Premissas!$B$4,Premissas!$E$5:$E$11)</f>
        <v>46335</v>
      </c>
      <c r="M67" s="21" t="s">
        <v>47</v>
      </c>
      <c r="N67" s="21"/>
      <c r="O67" s="19"/>
    </row>
    <row r="68" customFormat="false" ht="48" hidden="false" customHeight="true" outlineLevel="0" collapsed="false">
      <c r="A68" s="15" t="n">
        <v>64</v>
      </c>
      <c r="B68" s="15" t="s">
        <v>193</v>
      </c>
      <c r="C68" s="15" t="s">
        <v>220</v>
      </c>
      <c r="D68" s="16" t="n">
        <v>46337</v>
      </c>
      <c r="E68" s="15" t="str">
        <f aca="false">CHOOSE(WEEKDAY(D68),"Dom","Seg","Ter","Qua","Qui","Sex","Sáb")</f>
        <v>Qua</v>
      </c>
      <c r="F68" s="17" t="s">
        <v>18</v>
      </c>
      <c r="G68" s="22" t="s">
        <v>48</v>
      </c>
      <c r="H68" s="19" t="s">
        <v>240</v>
      </c>
      <c r="I68" s="19" t="s">
        <v>241</v>
      </c>
      <c r="J68" s="20" t="s">
        <v>242</v>
      </c>
      <c r="K68" s="19" t="s">
        <v>70</v>
      </c>
      <c r="L68" s="16" t="n">
        <f aca="false">WORKDAY(D68,-Premissas!$B$4,Premissas!$E$5:$E$11)</f>
        <v>46335</v>
      </c>
      <c r="M68" s="21" t="s">
        <v>47</v>
      </c>
      <c r="N68" s="21"/>
      <c r="O68" s="19"/>
    </row>
    <row r="69" customFormat="false" ht="48" hidden="false" customHeight="true" outlineLevel="0" collapsed="false">
      <c r="A69" s="15" t="n">
        <v>65</v>
      </c>
      <c r="B69" s="15" t="s">
        <v>193</v>
      </c>
      <c r="C69" s="15" t="s">
        <v>220</v>
      </c>
      <c r="D69" s="16" t="n">
        <v>46338</v>
      </c>
      <c r="E69" s="15" t="str">
        <f aca="false">CHOOSE(WEEKDAY(D69),"Dom","Seg","Ter","Qua","Qui","Sex","Sáb")</f>
        <v>Qui</v>
      </c>
      <c r="F69" s="17" t="s">
        <v>19</v>
      </c>
      <c r="G69" s="23" t="s">
        <v>52</v>
      </c>
      <c r="H69" s="19" t="s">
        <v>243</v>
      </c>
      <c r="I69" s="19" t="s">
        <v>244</v>
      </c>
      <c r="J69" s="20" t="s">
        <v>245</v>
      </c>
      <c r="K69" s="19" t="s">
        <v>46</v>
      </c>
      <c r="L69" s="16" t="n">
        <f aca="false">WORKDAY(D69,-Premissas!$B$4,Premissas!$E$5:$E$11)</f>
        <v>46336</v>
      </c>
      <c r="M69" s="21" t="s">
        <v>47</v>
      </c>
      <c r="N69" s="21"/>
      <c r="O69" s="19"/>
    </row>
    <row r="70" customFormat="false" ht="48" hidden="false" customHeight="true" outlineLevel="0" collapsed="false">
      <c r="A70" s="15" t="n">
        <v>66</v>
      </c>
      <c r="B70" s="15" t="s">
        <v>193</v>
      </c>
      <c r="C70" s="15" t="s">
        <v>220</v>
      </c>
      <c r="D70" s="16" t="n">
        <v>46338</v>
      </c>
      <c r="E70" s="15" t="str">
        <f aca="false">CHOOSE(WEEKDAY(D70),"Dom","Seg","Ter","Qua","Qui","Sex","Sáb")</f>
        <v>Qui</v>
      </c>
      <c r="F70" s="17" t="s">
        <v>19</v>
      </c>
      <c r="G70" s="22" t="s">
        <v>48</v>
      </c>
      <c r="H70" s="19" t="s">
        <v>246</v>
      </c>
      <c r="I70" s="19" t="s">
        <v>247</v>
      </c>
      <c r="J70" s="20" t="s">
        <v>248</v>
      </c>
      <c r="K70" s="19" t="s">
        <v>46</v>
      </c>
      <c r="L70" s="16" t="n">
        <f aca="false">WORKDAY(D70,-Premissas!$B$4,Premissas!$E$5:$E$11)</f>
        <v>46336</v>
      </c>
      <c r="M70" s="21" t="s">
        <v>47</v>
      </c>
      <c r="N70" s="21"/>
      <c r="O70" s="19"/>
    </row>
    <row r="71" customFormat="false" ht="48" hidden="false" customHeight="true" outlineLevel="0" collapsed="false">
      <c r="A71" s="15" t="n">
        <v>67</v>
      </c>
      <c r="B71" s="15" t="s">
        <v>193</v>
      </c>
      <c r="C71" s="15" t="s">
        <v>220</v>
      </c>
      <c r="D71" s="16" t="n">
        <v>46338</v>
      </c>
      <c r="E71" s="15" t="str">
        <f aca="false">CHOOSE(WEEKDAY(D71),"Dom","Seg","Ter","Qua","Qui","Sex","Sáb")</f>
        <v>Qui</v>
      </c>
      <c r="F71" s="17" t="s">
        <v>20</v>
      </c>
      <c r="G71" s="18" t="s">
        <v>42</v>
      </c>
      <c r="H71" s="19" t="s">
        <v>71</v>
      </c>
      <c r="I71" s="19" t="s">
        <v>249</v>
      </c>
      <c r="J71" s="20" t="s">
        <v>250</v>
      </c>
      <c r="K71" s="19" t="s">
        <v>83</v>
      </c>
      <c r="L71" s="16" t="n">
        <f aca="false">WORKDAY(D71,-Premissas!$B$4,Premissas!$E$5:$E$11)</f>
        <v>46336</v>
      </c>
      <c r="M71" s="21" t="s">
        <v>47</v>
      </c>
      <c r="N71" s="21"/>
      <c r="O71" s="19"/>
    </row>
    <row r="72" customFormat="false" ht="48" hidden="false" customHeight="true" outlineLevel="0" collapsed="false">
      <c r="A72" s="15" t="n">
        <v>68</v>
      </c>
      <c r="B72" s="15" t="s">
        <v>193</v>
      </c>
      <c r="C72" s="15" t="s">
        <v>220</v>
      </c>
      <c r="D72" s="16" t="n">
        <v>46338</v>
      </c>
      <c r="E72" s="15" t="str">
        <f aca="false">CHOOSE(WEEKDAY(D72),"Dom","Seg","Ter","Qua","Qui","Sex","Sáb")</f>
        <v>Qui</v>
      </c>
      <c r="F72" s="17" t="s">
        <v>20</v>
      </c>
      <c r="G72" s="22" t="s">
        <v>48</v>
      </c>
      <c r="H72" s="19" t="s">
        <v>251</v>
      </c>
      <c r="I72" s="19" t="s">
        <v>252</v>
      </c>
      <c r="J72" s="20" t="s">
        <v>253</v>
      </c>
      <c r="K72" s="19" t="s">
        <v>83</v>
      </c>
      <c r="L72" s="16" t="n">
        <f aca="false">WORKDAY(D72,-Premissas!$B$4,Premissas!$E$5:$E$11)</f>
        <v>46336</v>
      </c>
      <c r="M72" s="21" t="s">
        <v>47</v>
      </c>
      <c r="N72" s="21"/>
      <c r="O72" s="19"/>
    </row>
    <row r="73" customFormat="false" ht="48" hidden="false" customHeight="true" outlineLevel="0" collapsed="false">
      <c r="A73" s="15" t="n">
        <v>69</v>
      </c>
      <c r="B73" s="15" t="s">
        <v>193</v>
      </c>
      <c r="C73" s="15" t="s">
        <v>220</v>
      </c>
      <c r="D73" s="16" t="n">
        <v>46339</v>
      </c>
      <c r="E73" s="15" t="str">
        <f aca="false">CHOOSE(WEEKDAY(D73),"Dom","Seg","Ter","Qua","Qui","Sex","Sáb")</f>
        <v>Sex</v>
      </c>
      <c r="F73" s="17" t="s">
        <v>21</v>
      </c>
      <c r="G73" s="23" t="s">
        <v>52</v>
      </c>
      <c r="H73" s="19" t="s">
        <v>254</v>
      </c>
      <c r="I73" s="19" t="s">
        <v>255</v>
      </c>
      <c r="J73" s="20" t="s">
        <v>256</v>
      </c>
      <c r="K73" s="19" t="s">
        <v>46</v>
      </c>
      <c r="L73" s="16" t="n">
        <f aca="false">WORKDAY(D73,-Premissas!$B$4,Premissas!$E$5:$E$11)</f>
        <v>46337</v>
      </c>
      <c r="M73" s="21" t="s">
        <v>47</v>
      </c>
      <c r="N73" s="21"/>
      <c r="O73" s="19"/>
    </row>
    <row r="74" customFormat="false" ht="48" hidden="false" customHeight="true" outlineLevel="0" collapsed="false">
      <c r="A74" s="15" t="n">
        <v>70</v>
      </c>
      <c r="B74" s="15" t="s">
        <v>193</v>
      </c>
      <c r="C74" s="15" t="s">
        <v>220</v>
      </c>
      <c r="D74" s="16" t="n">
        <v>46339</v>
      </c>
      <c r="E74" s="15" t="str">
        <f aca="false">CHOOSE(WEEKDAY(D74),"Dom","Seg","Ter","Qua","Qui","Sex","Sáb")</f>
        <v>Sex</v>
      </c>
      <c r="F74" s="17" t="s">
        <v>21</v>
      </c>
      <c r="G74" s="22" t="s">
        <v>48</v>
      </c>
      <c r="H74" s="19" t="s">
        <v>243</v>
      </c>
      <c r="I74" s="19" t="s">
        <v>257</v>
      </c>
      <c r="J74" s="20" t="s">
        <v>216</v>
      </c>
      <c r="K74" s="19" t="s">
        <v>46</v>
      </c>
      <c r="L74" s="16" t="n">
        <f aca="false">WORKDAY(D74,-Premissas!$B$4,Premissas!$E$5:$E$11)</f>
        <v>46337</v>
      </c>
      <c r="M74" s="21" t="s">
        <v>47</v>
      </c>
      <c r="N74" s="21"/>
      <c r="O74" s="19"/>
    </row>
    <row r="75" customFormat="false" ht="48" hidden="false" customHeight="true" outlineLevel="0" collapsed="false">
      <c r="A75" s="15" t="n">
        <v>71</v>
      </c>
      <c r="B75" s="15" t="s">
        <v>193</v>
      </c>
      <c r="C75" s="15" t="s">
        <v>220</v>
      </c>
      <c r="D75" s="16" t="n">
        <v>46339</v>
      </c>
      <c r="E75" s="15" t="str">
        <f aca="false">CHOOSE(WEEKDAY(D75),"Dom","Seg","Ter","Qua","Qui","Sex","Sáb")</f>
        <v>Sex</v>
      </c>
      <c r="F75" s="17" t="s">
        <v>22</v>
      </c>
      <c r="G75" s="18" t="s">
        <v>42</v>
      </c>
      <c r="H75" s="19" t="s">
        <v>157</v>
      </c>
      <c r="I75" s="19" t="s">
        <v>258</v>
      </c>
      <c r="J75" s="20" t="s">
        <v>259</v>
      </c>
      <c r="K75" s="19" t="s">
        <v>95</v>
      </c>
      <c r="L75" s="16" t="n">
        <f aca="false">WORKDAY(D75,-Premissas!$B$4,Premissas!$E$5:$E$11)</f>
        <v>46337</v>
      </c>
      <c r="M75" s="21" t="s">
        <v>47</v>
      </c>
      <c r="N75" s="21"/>
      <c r="O75" s="19"/>
    </row>
    <row r="76" customFormat="false" ht="48" hidden="false" customHeight="true" outlineLevel="0" collapsed="false">
      <c r="A76" s="15" t="n">
        <v>72</v>
      </c>
      <c r="B76" s="15" t="s">
        <v>193</v>
      </c>
      <c r="C76" s="15" t="s">
        <v>220</v>
      </c>
      <c r="D76" s="16" t="n">
        <v>46339</v>
      </c>
      <c r="E76" s="15" t="str">
        <f aca="false">CHOOSE(WEEKDAY(D76),"Dom","Seg","Ter","Qua","Qui","Sex","Sáb")</f>
        <v>Sex</v>
      </c>
      <c r="F76" s="17" t="s">
        <v>22</v>
      </c>
      <c r="G76" s="22" t="s">
        <v>48</v>
      </c>
      <c r="H76" s="19" t="s">
        <v>115</v>
      </c>
      <c r="I76" s="19" t="s">
        <v>133</v>
      </c>
      <c r="J76" s="20" t="s">
        <v>260</v>
      </c>
      <c r="K76" s="19" t="s">
        <v>95</v>
      </c>
      <c r="L76" s="16" t="n">
        <f aca="false">WORKDAY(D76,-Premissas!$B$4,Premissas!$E$5:$E$11)</f>
        <v>46337</v>
      </c>
      <c r="M76" s="21" t="s">
        <v>47</v>
      </c>
      <c r="N76" s="21"/>
      <c r="O76" s="19"/>
    </row>
    <row r="77" customFormat="false" ht="48" hidden="false" customHeight="true" outlineLevel="0" collapsed="false">
      <c r="A77" s="15" t="n">
        <v>73</v>
      </c>
      <c r="B77" s="15" t="s">
        <v>193</v>
      </c>
      <c r="C77" s="15" t="s">
        <v>261</v>
      </c>
      <c r="D77" s="16" t="n">
        <v>46343</v>
      </c>
      <c r="E77" s="15" t="str">
        <f aca="false">CHOOSE(WEEKDAY(D77),"Dom","Seg","Ter","Qua","Qui","Sex","Sáb")</f>
        <v>Ter</v>
      </c>
      <c r="F77" s="17" t="s">
        <v>15</v>
      </c>
      <c r="G77" s="18" t="s">
        <v>42</v>
      </c>
      <c r="H77" s="19" t="s">
        <v>262</v>
      </c>
      <c r="I77" s="19" t="s">
        <v>263</v>
      </c>
      <c r="J77" s="20" t="s">
        <v>264</v>
      </c>
      <c r="K77" s="19" t="s">
        <v>46</v>
      </c>
      <c r="L77" s="16" t="n">
        <f aca="false">WORKDAY(D77,-Premissas!$B$4,Premissas!$E$5:$E$11)</f>
        <v>46339</v>
      </c>
      <c r="M77" s="21" t="s">
        <v>47</v>
      </c>
      <c r="N77" s="21"/>
      <c r="O77" s="19"/>
    </row>
    <row r="78" customFormat="false" ht="48" hidden="false" customHeight="true" outlineLevel="0" collapsed="false">
      <c r="A78" s="15" t="n">
        <v>74</v>
      </c>
      <c r="B78" s="15" t="s">
        <v>193</v>
      </c>
      <c r="C78" s="15" t="s">
        <v>261</v>
      </c>
      <c r="D78" s="16" t="n">
        <v>46343</v>
      </c>
      <c r="E78" s="15" t="str">
        <f aca="false">CHOOSE(WEEKDAY(D78),"Dom","Seg","Ter","Qua","Qui","Sex","Sáb")</f>
        <v>Ter</v>
      </c>
      <c r="F78" s="17" t="s">
        <v>16</v>
      </c>
      <c r="G78" s="23" t="s">
        <v>52</v>
      </c>
      <c r="H78" s="19" t="s">
        <v>265</v>
      </c>
      <c r="I78" s="19" t="s">
        <v>266</v>
      </c>
      <c r="J78" s="20" t="s">
        <v>267</v>
      </c>
      <c r="K78" s="19" t="s">
        <v>56</v>
      </c>
      <c r="L78" s="16" t="n">
        <f aca="false">WORKDAY(D78,-Premissas!$B$4,Premissas!$E$5:$E$11)</f>
        <v>46339</v>
      </c>
      <c r="M78" s="21" t="s">
        <v>47</v>
      </c>
      <c r="N78" s="21"/>
      <c r="O78" s="19"/>
    </row>
    <row r="79" customFormat="false" ht="48" hidden="false" customHeight="true" outlineLevel="0" collapsed="false">
      <c r="A79" s="15" t="n">
        <v>75</v>
      </c>
      <c r="B79" s="15" t="s">
        <v>193</v>
      </c>
      <c r="C79" s="15" t="s">
        <v>261</v>
      </c>
      <c r="D79" s="16" t="n">
        <v>46344</v>
      </c>
      <c r="E79" s="15" t="str">
        <f aca="false">CHOOSE(WEEKDAY(D79),"Dom","Seg","Ter","Qua","Qui","Sex","Sáb")</f>
        <v>Qua</v>
      </c>
      <c r="F79" s="17" t="s">
        <v>17</v>
      </c>
      <c r="G79" s="18" t="s">
        <v>42</v>
      </c>
      <c r="H79" s="19" t="s">
        <v>115</v>
      </c>
      <c r="I79" s="19" t="s">
        <v>268</v>
      </c>
      <c r="J79" s="20" t="s">
        <v>269</v>
      </c>
      <c r="K79" s="19" t="s">
        <v>46</v>
      </c>
      <c r="L79" s="16" t="n">
        <f aca="false">WORKDAY(D79,-Premissas!$B$4,Premissas!$E$5:$E$11)</f>
        <v>46342</v>
      </c>
      <c r="M79" s="21" t="s">
        <v>47</v>
      </c>
      <c r="N79" s="21"/>
      <c r="O79" s="24" t="s">
        <v>118</v>
      </c>
    </row>
    <row r="80" customFormat="false" ht="48" hidden="false" customHeight="true" outlineLevel="0" collapsed="false">
      <c r="A80" s="15" t="n">
        <v>76</v>
      </c>
      <c r="B80" s="15" t="s">
        <v>193</v>
      </c>
      <c r="C80" s="15" t="s">
        <v>261</v>
      </c>
      <c r="D80" s="16" t="n">
        <v>46344</v>
      </c>
      <c r="E80" s="15" t="str">
        <f aca="false">CHOOSE(WEEKDAY(D80),"Dom","Seg","Ter","Qua","Qui","Sex","Sáb")</f>
        <v>Qua</v>
      </c>
      <c r="F80" s="17" t="s">
        <v>18</v>
      </c>
      <c r="G80" s="23" t="s">
        <v>52</v>
      </c>
      <c r="H80" s="19" t="s">
        <v>77</v>
      </c>
      <c r="I80" s="19" t="s">
        <v>270</v>
      </c>
      <c r="J80" s="20" t="s">
        <v>271</v>
      </c>
      <c r="K80" s="19" t="s">
        <v>70</v>
      </c>
      <c r="L80" s="16" t="n">
        <f aca="false">WORKDAY(D80,-Premissas!$B$4,Premissas!$E$5:$E$11)</f>
        <v>46342</v>
      </c>
      <c r="M80" s="21" t="s">
        <v>47</v>
      </c>
      <c r="N80" s="21"/>
      <c r="O80" s="19"/>
    </row>
    <row r="81" customFormat="false" ht="48" hidden="false" customHeight="true" outlineLevel="0" collapsed="false">
      <c r="A81" s="15" t="n">
        <v>77</v>
      </c>
      <c r="B81" s="15" t="s">
        <v>193</v>
      </c>
      <c r="C81" s="15" t="s">
        <v>261</v>
      </c>
      <c r="D81" s="16" t="n">
        <v>46345</v>
      </c>
      <c r="E81" s="15" t="str">
        <f aca="false">CHOOSE(WEEKDAY(D81),"Dom","Seg","Ter","Qua","Qui","Sex","Sáb")</f>
        <v>Qui</v>
      </c>
      <c r="F81" s="17" t="s">
        <v>19</v>
      </c>
      <c r="G81" s="18" t="s">
        <v>42</v>
      </c>
      <c r="H81" s="19" t="s">
        <v>157</v>
      </c>
      <c r="I81" s="19" t="s">
        <v>272</v>
      </c>
      <c r="J81" s="20" t="s">
        <v>273</v>
      </c>
      <c r="K81" s="19" t="s">
        <v>46</v>
      </c>
      <c r="L81" s="16" t="n">
        <f aca="false">WORKDAY(D81,-Premissas!$B$4,Premissas!$E$5:$E$11)</f>
        <v>46343</v>
      </c>
      <c r="M81" s="21" t="s">
        <v>47</v>
      </c>
      <c r="N81" s="21"/>
      <c r="O81" s="19"/>
    </row>
    <row r="82" customFormat="false" ht="48" hidden="false" customHeight="true" outlineLevel="0" collapsed="false">
      <c r="A82" s="15" t="n">
        <v>78</v>
      </c>
      <c r="B82" s="15" t="s">
        <v>193</v>
      </c>
      <c r="C82" s="15" t="s">
        <v>261</v>
      </c>
      <c r="D82" s="16" t="n">
        <v>46345</v>
      </c>
      <c r="E82" s="15" t="str">
        <f aca="false">CHOOSE(WEEKDAY(D82),"Dom","Seg","Ter","Qua","Qui","Sex","Sáb")</f>
        <v>Qui</v>
      </c>
      <c r="F82" s="17" t="s">
        <v>20</v>
      </c>
      <c r="G82" s="23" t="s">
        <v>52</v>
      </c>
      <c r="H82" s="19" t="s">
        <v>77</v>
      </c>
      <c r="I82" s="19" t="s">
        <v>274</v>
      </c>
      <c r="J82" s="20" t="s">
        <v>275</v>
      </c>
      <c r="K82" s="19" t="s">
        <v>83</v>
      </c>
      <c r="L82" s="16" t="n">
        <f aca="false">WORKDAY(D82,-Premissas!$B$4,Premissas!$E$5:$E$11)</f>
        <v>46343</v>
      </c>
      <c r="M82" s="21" t="s">
        <v>47</v>
      </c>
      <c r="N82" s="21"/>
      <c r="O82" s="19"/>
    </row>
    <row r="83" customFormat="false" ht="48" hidden="false" customHeight="true" outlineLevel="0" collapsed="false">
      <c r="A83" s="15" t="n">
        <v>79</v>
      </c>
      <c r="B83" s="15" t="s">
        <v>193</v>
      </c>
      <c r="C83" s="15" t="s">
        <v>261</v>
      </c>
      <c r="D83" s="16" t="n">
        <v>46345</v>
      </c>
      <c r="E83" s="15" t="str">
        <f aca="false">CHOOSE(WEEKDAY(D83),"Dom","Seg","Ter","Qua","Qui","Sex","Sáb")</f>
        <v>Qui</v>
      </c>
      <c r="F83" s="17" t="s">
        <v>21</v>
      </c>
      <c r="G83" s="18" t="s">
        <v>42</v>
      </c>
      <c r="H83" s="19" t="s">
        <v>276</v>
      </c>
      <c r="I83" s="19" t="s">
        <v>277</v>
      </c>
      <c r="J83" s="20" t="s">
        <v>278</v>
      </c>
      <c r="K83" s="19" t="s">
        <v>46</v>
      </c>
      <c r="L83" s="16" t="n">
        <f aca="false">WORKDAY(D83,-Premissas!$B$4,Premissas!$E$5:$E$11)</f>
        <v>46343</v>
      </c>
      <c r="M83" s="21" t="s">
        <v>47</v>
      </c>
      <c r="N83" s="21"/>
      <c r="O83" s="19"/>
    </row>
    <row r="84" customFormat="false" ht="48" hidden="false" customHeight="true" outlineLevel="0" collapsed="false">
      <c r="A84" s="15" t="n">
        <v>80</v>
      </c>
      <c r="B84" s="15" t="s">
        <v>193</v>
      </c>
      <c r="C84" s="15" t="s">
        <v>261</v>
      </c>
      <c r="D84" s="16" t="n">
        <v>46345</v>
      </c>
      <c r="E84" s="15" t="str">
        <f aca="false">CHOOSE(WEEKDAY(D84),"Dom","Seg","Ter","Qua","Qui","Sex","Sáb")</f>
        <v>Qui</v>
      </c>
      <c r="F84" s="17" t="s">
        <v>22</v>
      </c>
      <c r="G84" s="23" t="s">
        <v>52</v>
      </c>
      <c r="H84" s="19" t="s">
        <v>279</v>
      </c>
      <c r="I84" s="19" t="s">
        <v>280</v>
      </c>
      <c r="J84" s="20" t="s">
        <v>281</v>
      </c>
      <c r="K84" s="19" t="s">
        <v>95</v>
      </c>
      <c r="L84" s="16" t="n">
        <f aca="false">WORKDAY(D84,-Premissas!$B$4,Premissas!$E$5:$E$11)</f>
        <v>46343</v>
      </c>
      <c r="M84" s="21" t="s">
        <v>47</v>
      </c>
      <c r="N84" s="21"/>
      <c r="O84" s="19"/>
    </row>
    <row r="85" customFormat="false" ht="48" hidden="false" customHeight="true" outlineLevel="0" collapsed="false">
      <c r="A85" s="15" t="n">
        <v>81</v>
      </c>
      <c r="B85" s="15" t="s">
        <v>193</v>
      </c>
      <c r="C85" s="15" t="s">
        <v>282</v>
      </c>
      <c r="D85" s="16" t="n">
        <v>46350</v>
      </c>
      <c r="E85" s="15" t="str">
        <f aca="false">CHOOSE(WEEKDAY(D85),"Dom","Seg","Ter","Qua","Qui","Sex","Sáb")</f>
        <v>Ter</v>
      </c>
      <c r="F85" s="17" t="s">
        <v>15</v>
      </c>
      <c r="G85" s="23" t="s">
        <v>52</v>
      </c>
      <c r="H85" s="19" t="s">
        <v>283</v>
      </c>
      <c r="I85" s="19" t="s">
        <v>284</v>
      </c>
      <c r="J85" s="20" t="s">
        <v>285</v>
      </c>
      <c r="K85" s="19" t="s">
        <v>46</v>
      </c>
      <c r="L85" s="16" t="n">
        <f aca="false">WORKDAY(D85,-Premissas!$B$4,Premissas!$E$5:$E$11)</f>
        <v>46345</v>
      </c>
      <c r="M85" s="21" t="s">
        <v>47</v>
      </c>
      <c r="N85" s="21"/>
      <c r="O85" s="19"/>
    </row>
    <row r="86" customFormat="false" ht="48" hidden="false" customHeight="true" outlineLevel="0" collapsed="false">
      <c r="A86" s="15" t="n">
        <v>82</v>
      </c>
      <c r="B86" s="15" t="s">
        <v>193</v>
      </c>
      <c r="C86" s="15" t="s">
        <v>282</v>
      </c>
      <c r="D86" s="16" t="n">
        <v>46350</v>
      </c>
      <c r="E86" s="15" t="str">
        <f aca="false">CHOOSE(WEEKDAY(D86),"Dom","Seg","Ter","Qua","Qui","Sex","Sáb")</f>
        <v>Ter</v>
      </c>
      <c r="F86" s="17" t="s">
        <v>16</v>
      </c>
      <c r="G86" s="18" t="s">
        <v>42</v>
      </c>
      <c r="H86" s="19" t="s">
        <v>208</v>
      </c>
      <c r="I86" s="19" t="s">
        <v>286</v>
      </c>
      <c r="J86" s="20" t="s">
        <v>287</v>
      </c>
      <c r="K86" s="19" t="s">
        <v>56</v>
      </c>
      <c r="L86" s="16" t="n">
        <f aca="false">WORKDAY(D86,-Premissas!$B$4,Premissas!$E$5:$E$11)</f>
        <v>46345</v>
      </c>
      <c r="M86" s="21" t="s">
        <v>47</v>
      </c>
      <c r="N86" s="21"/>
      <c r="O86" s="19"/>
    </row>
    <row r="87" customFormat="false" ht="48" hidden="false" customHeight="true" outlineLevel="0" collapsed="false">
      <c r="A87" s="15" t="n">
        <v>83</v>
      </c>
      <c r="B87" s="15" t="s">
        <v>193</v>
      </c>
      <c r="C87" s="15" t="s">
        <v>282</v>
      </c>
      <c r="D87" s="16" t="n">
        <v>46351</v>
      </c>
      <c r="E87" s="15" t="str">
        <f aca="false">CHOOSE(WEEKDAY(D87),"Dom","Seg","Ter","Qua","Qui","Sex","Sáb")</f>
        <v>Qua</v>
      </c>
      <c r="F87" s="17" t="s">
        <v>17</v>
      </c>
      <c r="G87" s="23" t="s">
        <v>52</v>
      </c>
      <c r="H87" s="19" t="s">
        <v>115</v>
      </c>
      <c r="I87" s="19" t="s">
        <v>288</v>
      </c>
      <c r="J87" s="20" t="s">
        <v>289</v>
      </c>
      <c r="K87" s="19" t="s">
        <v>46</v>
      </c>
      <c r="L87" s="16" t="n">
        <f aca="false">WORKDAY(D87,-Premissas!$B$4,Premissas!$E$5:$E$11)</f>
        <v>46349</v>
      </c>
      <c r="M87" s="21" t="s">
        <v>47</v>
      </c>
      <c r="N87" s="21"/>
      <c r="O87" s="24" t="s">
        <v>118</v>
      </c>
    </row>
    <row r="88" customFormat="false" ht="48" hidden="false" customHeight="true" outlineLevel="0" collapsed="false">
      <c r="A88" s="15" t="n">
        <v>84</v>
      </c>
      <c r="B88" s="15" t="s">
        <v>193</v>
      </c>
      <c r="C88" s="15" t="s">
        <v>282</v>
      </c>
      <c r="D88" s="16" t="n">
        <v>46351</v>
      </c>
      <c r="E88" s="15" t="str">
        <f aca="false">CHOOSE(WEEKDAY(D88),"Dom","Seg","Ter","Qua","Qui","Sex","Sáb")</f>
        <v>Qua</v>
      </c>
      <c r="F88" s="17" t="s">
        <v>18</v>
      </c>
      <c r="G88" s="18" t="s">
        <v>42</v>
      </c>
      <c r="H88" s="19" t="s">
        <v>290</v>
      </c>
      <c r="I88" s="19" t="s">
        <v>291</v>
      </c>
      <c r="J88" s="20" t="s">
        <v>292</v>
      </c>
      <c r="K88" s="19" t="s">
        <v>70</v>
      </c>
      <c r="L88" s="16" t="n">
        <f aca="false">WORKDAY(D88,-Premissas!$B$4,Premissas!$E$5:$E$11)</f>
        <v>46349</v>
      </c>
      <c r="M88" s="21" t="s">
        <v>47</v>
      </c>
      <c r="N88" s="21"/>
      <c r="O88" s="19"/>
    </row>
    <row r="89" customFormat="false" ht="48" hidden="false" customHeight="true" outlineLevel="0" collapsed="false">
      <c r="A89" s="15" t="n">
        <v>85</v>
      </c>
      <c r="B89" s="15" t="s">
        <v>193</v>
      </c>
      <c r="C89" s="15" t="s">
        <v>282</v>
      </c>
      <c r="D89" s="16" t="n">
        <v>46352</v>
      </c>
      <c r="E89" s="15" t="str">
        <f aca="false">CHOOSE(WEEKDAY(D89),"Dom","Seg","Ter","Qua","Qui","Sex","Sáb")</f>
        <v>Qui</v>
      </c>
      <c r="F89" s="17" t="s">
        <v>19</v>
      </c>
      <c r="G89" s="23" t="s">
        <v>52</v>
      </c>
      <c r="H89" s="19" t="s">
        <v>293</v>
      </c>
      <c r="I89" s="19" t="s">
        <v>294</v>
      </c>
      <c r="J89" s="20" t="s">
        <v>295</v>
      </c>
      <c r="K89" s="19" t="s">
        <v>46</v>
      </c>
      <c r="L89" s="16" t="n">
        <f aca="false">WORKDAY(D89,-Premissas!$B$4,Premissas!$E$5:$E$11)</f>
        <v>46350</v>
      </c>
      <c r="M89" s="21" t="s">
        <v>47</v>
      </c>
      <c r="N89" s="21"/>
      <c r="O89" s="19"/>
    </row>
    <row r="90" customFormat="false" ht="48" hidden="false" customHeight="true" outlineLevel="0" collapsed="false">
      <c r="A90" s="15" t="n">
        <v>86</v>
      </c>
      <c r="B90" s="15" t="s">
        <v>193</v>
      </c>
      <c r="C90" s="15" t="s">
        <v>282</v>
      </c>
      <c r="D90" s="16" t="n">
        <v>46352</v>
      </c>
      <c r="E90" s="15" t="str">
        <f aca="false">CHOOSE(WEEKDAY(D90),"Dom","Seg","Ter","Qua","Qui","Sex","Sáb")</f>
        <v>Qui</v>
      </c>
      <c r="F90" s="17" t="s">
        <v>20</v>
      </c>
      <c r="G90" s="18" t="s">
        <v>42</v>
      </c>
      <c r="H90" s="19" t="s">
        <v>141</v>
      </c>
      <c r="I90" s="19" t="s">
        <v>296</v>
      </c>
      <c r="J90" s="20" t="s">
        <v>297</v>
      </c>
      <c r="K90" s="19" t="s">
        <v>83</v>
      </c>
      <c r="L90" s="16" t="n">
        <f aca="false">WORKDAY(D90,-Premissas!$B$4,Premissas!$E$5:$E$11)</f>
        <v>46350</v>
      </c>
      <c r="M90" s="21" t="s">
        <v>47</v>
      </c>
      <c r="N90" s="21"/>
      <c r="O90" s="19"/>
    </row>
    <row r="91" customFormat="false" ht="48" hidden="false" customHeight="true" outlineLevel="0" collapsed="false">
      <c r="A91" s="15" t="n">
        <v>87</v>
      </c>
      <c r="B91" s="15" t="s">
        <v>193</v>
      </c>
      <c r="C91" s="15" t="s">
        <v>282</v>
      </c>
      <c r="D91" s="16" t="n">
        <v>46353</v>
      </c>
      <c r="E91" s="15" t="str">
        <f aca="false">CHOOSE(WEEKDAY(D91),"Dom","Seg","Ter","Qua","Qui","Sex","Sáb")</f>
        <v>Sex</v>
      </c>
      <c r="F91" s="17" t="s">
        <v>21</v>
      </c>
      <c r="G91" s="23" t="s">
        <v>52</v>
      </c>
      <c r="H91" s="19" t="s">
        <v>298</v>
      </c>
      <c r="I91" s="19" t="s">
        <v>299</v>
      </c>
      <c r="J91" s="20" t="s">
        <v>300</v>
      </c>
      <c r="K91" s="19" t="s">
        <v>46</v>
      </c>
      <c r="L91" s="16" t="n">
        <f aca="false">WORKDAY(D91,-Premissas!$B$4,Premissas!$E$5:$E$11)</f>
        <v>46351</v>
      </c>
      <c r="M91" s="21" t="s">
        <v>47</v>
      </c>
      <c r="N91" s="21"/>
      <c r="O91" s="19"/>
    </row>
    <row r="92" customFormat="false" ht="48" hidden="false" customHeight="true" outlineLevel="0" collapsed="false">
      <c r="A92" s="15" t="n">
        <v>88</v>
      </c>
      <c r="B92" s="15" t="s">
        <v>193</v>
      </c>
      <c r="C92" s="15" t="s">
        <v>282</v>
      </c>
      <c r="D92" s="16" t="n">
        <v>46353</v>
      </c>
      <c r="E92" s="15" t="str">
        <f aca="false">CHOOSE(WEEKDAY(D92),"Dom","Seg","Ter","Qua","Qui","Sex","Sáb")</f>
        <v>Sex</v>
      </c>
      <c r="F92" s="17" t="s">
        <v>22</v>
      </c>
      <c r="G92" s="18" t="s">
        <v>42</v>
      </c>
      <c r="H92" s="19" t="s">
        <v>77</v>
      </c>
      <c r="I92" s="19" t="s">
        <v>301</v>
      </c>
      <c r="J92" s="20" t="s">
        <v>302</v>
      </c>
      <c r="K92" s="19" t="s">
        <v>95</v>
      </c>
      <c r="L92" s="16" t="n">
        <f aca="false">WORKDAY(D92,-Premissas!$B$4,Premissas!$E$5:$E$11)</f>
        <v>46351</v>
      </c>
      <c r="M92" s="21" t="s">
        <v>47</v>
      </c>
      <c r="N92" s="21"/>
      <c r="O92" s="19"/>
    </row>
    <row r="93" customFormat="false" ht="48" hidden="false" customHeight="true" outlineLevel="0" collapsed="false">
      <c r="A93" s="15" t="n">
        <v>89</v>
      </c>
      <c r="B93" s="15" t="s">
        <v>303</v>
      </c>
      <c r="C93" s="15" t="s">
        <v>304</v>
      </c>
      <c r="D93" s="16" t="n">
        <v>46357</v>
      </c>
      <c r="E93" s="15" t="str">
        <f aca="false">CHOOSE(WEEKDAY(D93),"Dom","Seg","Ter","Qua","Qui","Sex","Sáb")</f>
        <v>Ter</v>
      </c>
      <c r="F93" s="17" t="s">
        <v>15</v>
      </c>
      <c r="G93" s="18" t="s">
        <v>42</v>
      </c>
      <c r="H93" s="19" t="s">
        <v>243</v>
      </c>
      <c r="I93" s="19" t="s">
        <v>305</v>
      </c>
      <c r="J93" s="20" t="s">
        <v>306</v>
      </c>
      <c r="K93" s="19" t="s">
        <v>46</v>
      </c>
      <c r="L93" s="16" t="n">
        <f aca="false">WORKDAY(D93,-Premissas!$B$4,Premissas!$E$5:$E$11)</f>
        <v>46353</v>
      </c>
      <c r="M93" s="21" t="s">
        <v>47</v>
      </c>
      <c r="N93" s="21"/>
      <c r="O93" s="19"/>
    </row>
    <row r="94" customFormat="false" ht="48" hidden="false" customHeight="true" outlineLevel="0" collapsed="false">
      <c r="A94" s="15" t="n">
        <v>90</v>
      </c>
      <c r="B94" s="15" t="s">
        <v>303</v>
      </c>
      <c r="C94" s="15" t="s">
        <v>304</v>
      </c>
      <c r="D94" s="16" t="n">
        <v>46357</v>
      </c>
      <c r="E94" s="15" t="str">
        <f aca="false">CHOOSE(WEEKDAY(D94),"Dom","Seg","Ter","Qua","Qui","Sex","Sáb")</f>
        <v>Ter</v>
      </c>
      <c r="F94" s="17" t="s">
        <v>15</v>
      </c>
      <c r="G94" s="22" t="s">
        <v>48</v>
      </c>
      <c r="H94" s="19" t="s">
        <v>85</v>
      </c>
      <c r="I94" s="19" t="s">
        <v>307</v>
      </c>
      <c r="J94" s="20" t="s">
        <v>308</v>
      </c>
      <c r="K94" s="19" t="s">
        <v>46</v>
      </c>
      <c r="L94" s="16" t="n">
        <f aca="false">WORKDAY(D94,-Premissas!$B$4,Premissas!$E$5:$E$11)</f>
        <v>46353</v>
      </c>
      <c r="M94" s="21" t="s">
        <v>47</v>
      </c>
      <c r="N94" s="21"/>
      <c r="O94" s="24" t="s">
        <v>309</v>
      </c>
    </row>
    <row r="95" customFormat="false" ht="48" hidden="false" customHeight="true" outlineLevel="0" collapsed="false">
      <c r="A95" s="15" t="n">
        <v>91</v>
      </c>
      <c r="B95" s="15" t="s">
        <v>303</v>
      </c>
      <c r="C95" s="15" t="s">
        <v>304</v>
      </c>
      <c r="D95" s="16" t="n">
        <v>46357</v>
      </c>
      <c r="E95" s="15" t="str">
        <f aca="false">CHOOSE(WEEKDAY(D95),"Dom","Seg","Ter","Qua","Qui","Sex","Sáb")</f>
        <v>Ter</v>
      </c>
      <c r="F95" s="17" t="s">
        <v>16</v>
      </c>
      <c r="G95" s="23" t="s">
        <v>52</v>
      </c>
      <c r="H95" s="19" t="s">
        <v>279</v>
      </c>
      <c r="I95" s="19" t="s">
        <v>310</v>
      </c>
      <c r="J95" s="20" t="s">
        <v>311</v>
      </c>
      <c r="K95" s="19" t="s">
        <v>56</v>
      </c>
      <c r="L95" s="16" t="n">
        <f aca="false">WORKDAY(D95,-Premissas!$B$4,Premissas!$E$5:$E$11)</f>
        <v>46353</v>
      </c>
      <c r="M95" s="21" t="s">
        <v>47</v>
      </c>
      <c r="N95" s="21"/>
      <c r="O95" s="19"/>
    </row>
    <row r="96" customFormat="false" ht="48" hidden="false" customHeight="true" outlineLevel="0" collapsed="false">
      <c r="A96" s="15" t="n">
        <v>92</v>
      </c>
      <c r="B96" s="15" t="s">
        <v>303</v>
      </c>
      <c r="C96" s="15" t="s">
        <v>304</v>
      </c>
      <c r="D96" s="16" t="n">
        <v>46357</v>
      </c>
      <c r="E96" s="15" t="str">
        <f aca="false">CHOOSE(WEEKDAY(D96),"Dom","Seg","Ter","Qua","Qui","Sex","Sáb")</f>
        <v>Ter</v>
      </c>
      <c r="F96" s="17" t="s">
        <v>16</v>
      </c>
      <c r="G96" s="22" t="s">
        <v>48</v>
      </c>
      <c r="H96" s="19" t="s">
        <v>312</v>
      </c>
      <c r="I96" s="19" t="s">
        <v>313</v>
      </c>
      <c r="J96" s="20" t="s">
        <v>314</v>
      </c>
      <c r="K96" s="19" t="s">
        <v>56</v>
      </c>
      <c r="L96" s="16" t="n">
        <f aca="false">WORKDAY(D96,-Premissas!$B$4,Premissas!$E$5:$E$11)</f>
        <v>46353</v>
      </c>
      <c r="M96" s="21" t="s">
        <v>47</v>
      </c>
      <c r="N96" s="21"/>
      <c r="O96" s="19"/>
    </row>
    <row r="97" customFormat="false" ht="48" hidden="false" customHeight="true" outlineLevel="0" collapsed="false">
      <c r="A97" s="15" t="n">
        <v>93</v>
      </c>
      <c r="B97" s="15" t="s">
        <v>303</v>
      </c>
      <c r="C97" s="15" t="s">
        <v>304</v>
      </c>
      <c r="D97" s="16" t="n">
        <v>46358</v>
      </c>
      <c r="E97" s="15" t="str">
        <f aca="false">CHOOSE(WEEKDAY(D97),"Dom","Seg","Ter","Qua","Qui","Sex","Sáb")</f>
        <v>Qua</v>
      </c>
      <c r="F97" s="17" t="s">
        <v>17</v>
      </c>
      <c r="G97" s="18" t="s">
        <v>42</v>
      </c>
      <c r="H97" s="19" t="s">
        <v>315</v>
      </c>
      <c r="I97" s="19" t="s">
        <v>316</v>
      </c>
      <c r="J97" s="20" t="s">
        <v>317</v>
      </c>
      <c r="K97" s="19" t="s">
        <v>46</v>
      </c>
      <c r="L97" s="16" t="n">
        <f aca="false">WORKDAY(D97,-Premissas!$B$4,Premissas!$E$5:$E$11)</f>
        <v>46356</v>
      </c>
      <c r="M97" s="21" t="s">
        <v>47</v>
      </c>
      <c r="N97" s="21"/>
      <c r="O97" s="19"/>
    </row>
    <row r="98" customFormat="false" ht="48" hidden="false" customHeight="true" outlineLevel="0" collapsed="false">
      <c r="A98" s="15" t="n">
        <v>94</v>
      </c>
      <c r="B98" s="15" t="s">
        <v>303</v>
      </c>
      <c r="C98" s="15" t="s">
        <v>304</v>
      </c>
      <c r="D98" s="16" t="n">
        <v>46358</v>
      </c>
      <c r="E98" s="15" t="str">
        <f aca="false">CHOOSE(WEEKDAY(D98),"Dom","Seg","Ter","Qua","Qui","Sex","Sáb")</f>
        <v>Qua</v>
      </c>
      <c r="F98" s="17" t="s">
        <v>17</v>
      </c>
      <c r="G98" s="22" t="s">
        <v>48</v>
      </c>
      <c r="H98" s="19" t="s">
        <v>318</v>
      </c>
      <c r="I98" s="19" t="s">
        <v>319</v>
      </c>
      <c r="J98" s="20" t="s">
        <v>320</v>
      </c>
      <c r="K98" s="19" t="s">
        <v>46</v>
      </c>
      <c r="L98" s="16" t="n">
        <f aca="false">WORKDAY(D98,-Premissas!$B$4,Premissas!$E$5:$E$11)</f>
        <v>46356</v>
      </c>
      <c r="M98" s="21" t="s">
        <v>47</v>
      </c>
      <c r="N98" s="21"/>
      <c r="O98" s="19"/>
    </row>
    <row r="99" customFormat="false" ht="48" hidden="false" customHeight="true" outlineLevel="0" collapsed="false">
      <c r="A99" s="15" t="n">
        <v>95</v>
      </c>
      <c r="B99" s="15" t="s">
        <v>303</v>
      </c>
      <c r="C99" s="15" t="s">
        <v>304</v>
      </c>
      <c r="D99" s="16" t="n">
        <v>46358</v>
      </c>
      <c r="E99" s="15" t="str">
        <f aca="false">CHOOSE(WEEKDAY(D99),"Dom","Seg","Ter","Qua","Qui","Sex","Sáb")</f>
        <v>Qua</v>
      </c>
      <c r="F99" s="17" t="s">
        <v>18</v>
      </c>
      <c r="G99" s="18" t="s">
        <v>42</v>
      </c>
      <c r="H99" s="19" t="s">
        <v>321</v>
      </c>
      <c r="I99" s="19" t="s">
        <v>322</v>
      </c>
      <c r="J99" s="20" t="s">
        <v>323</v>
      </c>
      <c r="K99" s="19" t="s">
        <v>70</v>
      </c>
      <c r="L99" s="16" t="n">
        <f aca="false">WORKDAY(D99,-Premissas!$B$4,Premissas!$E$5:$E$11)</f>
        <v>46356</v>
      </c>
      <c r="M99" s="21" t="s">
        <v>47</v>
      </c>
      <c r="N99" s="21"/>
      <c r="O99" s="19"/>
    </row>
    <row r="100" customFormat="false" ht="48" hidden="false" customHeight="true" outlineLevel="0" collapsed="false">
      <c r="A100" s="15" t="n">
        <v>96</v>
      </c>
      <c r="B100" s="15" t="s">
        <v>303</v>
      </c>
      <c r="C100" s="15" t="s">
        <v>304</v>
      </c>
      <c r="D100" s="16" t="n">
        <v>46358</v>
      </c>
      <c r="E100" s="15" t="str">
        <f aca="false">CHOOSE(WEEKDAY(D100),"Dom","Seg","Ter","Qua","Qui","Sex","Sáb")</f>
        <v>Qua</v>
      </c>
      <c r="F100" s="17" t="s">
        <v>18</v>
      </c>
      <c r="G100" s="22" t="s">
        <v>48</v>
      </c>
      <c r="H100" s="19" t="s">
        <v>324</v>
      </c>
      <c r="I100" s="19" t="s">
        <v>325</v>
      </c>
      <c r="J100" s="20" t="s">
        <v>326</v>
      </c>
      <c r="K100" s="19" t="s">
        <v>70</v>
      </c>
      <c r="L100" s="16" t="n">
        <f aca="false">WORKDAY(D100,-Premissas!$B$4,Premissas!$E$5:$E$11)</f>
        <v>46356</v>
      </c>
      <c r="M100" s="21" t="s">
        <v>47</v>
      </c>
      <c r="N100" s="21"/>
      <c r="O100" s="19"/>
    </row>
    <row r="101" customFormat="false" ht="48" hidden="false" customHeight="true" outlineLevel="0" collapsed="false">
      <c r="A101" s="15" t="n">
        <v>97</v>
      </c>
      <c r="B101" s="15" t="s">
        <v>303</v>
      </c>
      <c r="C101" s="15" t="s">
        <v>304</v>
      </c>
      <c r="D101" s="16" t="n">
        <v>46359</v>
      </c>
      <c r="E101" s="15" t="str">
        <f aca="false">CHOOSE(WEEKDAY(D101),"Dom","Seg","Ter","Qua","Qui","Sex","Sáb")</f>
        <v>Qui</v>
      </c>
      <c r="F101" s="17" t="s">
        <v>19</v>
      </c>
      <c r="G101" s="23" t="s">
        <v>52</v>
      </c>
      <c r="H101" s="19" t="s">
        <v>221</v>
      </c>
      <c r="I101" s="19" t="s">
        <v>327</v>
      </c>
      <c r="J101" s="20" t="s">
        <v>328</v>
      </c>
      <c r="K101" s="19" t="s">
        <v>46</v>
      </c>
      <c r="L101" s="16" t="n">
        <f aca="false">WORKDAY(D101,-Premissas!$B$4,Premissas!$E$5:$E$11)</f>
        <v>46357</v>
      </c>
      <c r="M101" s="21" t="s">
        <v>47</v>
      </c>
      <c r="N101" s="21"/>
      <c r="O101" s="19"/>
    </row>
    <row r="102" customFormat="false" ht="48" hidden="false" customHeight="true" outlineLevel="0" collapsed="false">
      <c r="A102" s="15" t="n">
        <v>98</v>
      </c>
      <c r="B102" s="15" t="s">
        <v>303</v>
      </c>
      <c r="C102" s="15" t="s">
        <v>304</v>
      </c>
      <c r="D102" s="16" t="n">
        <v>46359</v>
      </c>
      <c r="E102" s="15" t="str">
        <f aca="false">CHOOSE(WEEKDAY(D102),"Dom","Seg","Ter","Qua","Qui","Sex","Sáb")</f>
        <v>Qui</v>
      </c>
      <c r="F102" s="17" t="s">
        <v>19</v>
      </c>
      <c r="G102" s="22" t="s">
        <v>48</v>
      </c>
      <c r="H102" s="19" t="s">
        <v>329</v>
      </c>
      <c r="I102" s="19" t="s">
        <v>330</v>
      </c>
      <c r="J102" s="20" t="s">
        <v>331</v>
      </c>
      <c r="K102" s="19" t="s">
        <v>46</v>
      </c>
      <c r="L102" s="16" t="n">
        <f aca="false">WORKDAY(D102,-Premissas!$B$4,Premissas!$E$5:$E$11)</f>
        <v>46357</v>
      </c>
      <c r="M102" s="21" t="s">
        <v>47</v>
      </c>
      <c r="N102" s="21"/>
      <c r="O102" s="19"/>
    </row>
    <row r="103" customFormat="false" ht="48" hidden="false" customHeight="true" outlineLevel="0" collapsed="false">
      <c r="A103" s="15" t="n">
        <v>99</v>
      </c>
      <c r="B103" s="15" t="s">
        <v>303</v>
      </c>
      <c r="C103" s="15" t="s">
        <v>304</v>
      </c>
      <c r="D103" s="16" t="n">
        <v>46359</v>
      </c>
      <c r="E103" s="15" t="str">
        <f aca="false">CHOOSE(WEEKDAY(D103),"Dom","Seg","Ter","Qua","Qui","Sex","Sáb")</f>
        <v>Qui</v>
      </c>
      <c r="F103" s="17" t="s">
        <v>20</v>
      </c>
      <c r="G103" s="18" t="s">
        <v>42</v>
      </c>
      <c r="H103" s="19" t="s">
        <v>332</v>
      </c>
      <c r="I103" s="19" t="s">
        <v>333</v>
      </c>
      <c r="J103" s="20" t="s">
        <v>334</v>
      </c>
      <c r="K103" s="19" t="s">
        <v>83</v>
      </c>
      <c r="L103" s="16" t="n">
        <f aca="false">WORKDAY(D103,-Premissas!$B$4,Premissas!$E$5:$E$11)</f>
        <v>46357</v>
      </c>
      <c r="M103" s="21" t="s">
        <v>47</v>
      </c>
      <c r="N103" s="21"/>
      <c r="O103" s="19"/>
    </row>
    <row r="104" customFormat="false" ht="48" hidden="false" customHeight="true" outlineLevel="0" collapsed="false">
      <c r="A104" s="15" t="n">
        <v>100</v>
      </c>
      <c r="B104" s="15" t="s">
        <v>303</v>
      </c>
      <c r="C104" s="15" t="s">
        <v>304</v>
      </c>
      <c r="D104" s="16" t="n">
        <v>46359</v>
      </c>
      <c r="E104" s="15" t="str">
        <f aca="false">CHOOSE(WEEKDAY(D104),"Dom","Seg","Ter","Qua","Qui","Sex","Sáb")</f>
        <v>Qui</v>
      </c>
      <c r="F104" s="17" t="s">
        <v>20</v>
      </c>
      <c r="G104" s="22" t="s">
        <v>48</v>
      </c>
      <c r="H104" s="19" t="s">
        <v>332</v>
      </c>
      <c r="I104" s="19" t="s">
        <v>335</v>
      </c>
      <c r="J104" s="20" t="s">
        <v>336</v>
      </c>
      <c r="K104" s="19" t="s">
        <v>83</v>
      </c>
      <c r="L104" s="16" t="n">
        <f aca="false">WORKDAY(D104,-Premissas!$B$4,Premissas!$E$5:$E$11)</f>
        <v>46357</v>
      </c>
      <c r="M104" s="21" t="s">
        <v>47</v>
      </c>
      <c r="N104" s="21"/>
      <c r="O104" s="19"/>
    </row>
    <row r="105" customFormat="false" ht="48" hidden="false" customHeight="true" outlineLevel="0" collapsed="false">
      <c r="A105" s="15" t="n">
        <v>101</v>
      </c>
      <c r="B105" s="15" t="s">
        <v>303</v>
      </c>
      <c r="C105" s="15" t="s">
        <v>304</v>
      </c>
      <c r="D105" s="16" t="n">
        <v>46360</v>
      </c>
      <c r="E105" s="15" t="str">
        <f aca="false">CHOOSE(WEEKDAY(D105),"Dom","Seg","Ter","Qua","Qui","Sex","Sáb")</f>
        <v>Sex</v>
      </c>
      <c r="F105" s="17" t="s">
        <v>21</v>
      </c>
      <c r="G105" s="18" t="s">
        <v>42</v>
      </c>
      <c r="H105" s="19" t="s">
        <v>337</v>
      </c>
      <c r="I105" s="19" t="s">
        <v>338</v>
      </c>
      <c r="J105" s="20" t="s">
        <v>339</v>
      </c>
      <c r="K105" s="19" t="s">
        <v>46</v>
      </c>
      <c r="L105" s="16" t="n">
        <f aca="false">WORKDAY(D105,-Premissas!$B$4,Premissas!$E$5:$E$11)</f>
        <v>46358</v>
      </c>
      <c r="M105" s="21" t="s">
        <v>47</v>
      </c>
      <c r="N105" s="21"/>
      <c r="O105" s="19"/>
    </row>
    <row r="106" customFormat="false" ht="48" hidden="false" customHeight="true" outlineLevel="0" collapsed="false">
      <c r="A106" s="15" t="n">
        <v>102</v>
      </c>
      <c r="B106" s="15" t="s">
        <v>303</v>
      </c>
      <c r="C106" s="15" t="s">
        <v>304</v>
      </c>
      <c r="D106" s="16" t="n">
        <v>46360</v>
      </c>
      <c r="E106" s="15" t="str">
        <f aca="false">CHOOSE(WEEKDAY(D106),"Dom","Seg","Ter","Qua","Qui","Sex","Sáb")</f>
        <v>Sex</v>
      </c>
      <c r="F106" s="17" t="s">
        <v>21</v>
      </c>
      <c r="G106" s="22" t="s">
        <v>48</v>
      </c>
      <c r="H106" s="19" t="s">
        <v>340</v>
      </c>
      <c r="I106" s="19" t="s">
        <v>341</v>
      </c>
      <c r="J106" s="20" t="s">
        <v>342</v>
      </c>
      <c r="K106" s="19" t="s">
        <v>46</v>
      </c>
      <c r="L106" s="16" t="n">
        <f aca="false">WORKDAY(D106,-Premissas!$B$4,Premissas!$E$5:$E$11)</f>
        <v>46358</v>
      </c>
      <c r="M106" s="21" t="s">
        <v>47</v>
      </c>
      <c r="N106" s="21"/>
      <c r="O106" s="19"/>
    </row>
    <row r="107" customFormat="false" ht="48" hidden="false" customHeight="true" outlineLevel="0" collapsed="false">
      <c r="A107" s="15" t="n">
        <v>103</v>
      </c>
      <c r="B107" s="15" t="s">
        <v>303</v>
      </c>
      <c r="C107" s="15" t="s">
        <v>304</v>
      </c>
      <c r="D107" s="16" t="n">
        <v>46360</v>
      </c>
      <c r="E107" s="15" t="str">
        <f aca="false">CHOOSE(WEEKDAY(D107),"Dom","Seg","Ter","Qua","Qui","Sex","Sáb")</f>
        <v>Sex</v>
      </c>
      <c r="F107" s="17" t="s">
        <v>22</v>
      </c>
      <c r="G107" s="23" t="s">
        <v>52</v>
      </c>
      <c r="H107" s="19" t="s">
        <v>221</v>
      </c>
      <c r="I107" s="19" t="s">
        <v>343</v>
      </c>
      <c r="J107" s="20" t="s">
        <v>344</v>
      </c>
      <c r="K107" s="19" t="s">
        <v>95</v>
      </c>
      <c r="L107" s="16" t="n">
        <f aca="false">WORKDAY(D107,-Premissas!$B$4,Premissas!$E$5:$E$11)</f>
        <v>46358</v>
      </c>
      <c r="M107" s="21" t="s">
        <v>47</v>
      </c>
      <c r="N107" s="21"/>
      <c r="O107" s="19"/>
    </row>
    <row r="108" customFormat="false" ht="48" hidden="false" customHeight="true" outlineLevel="0" collapsed="false">
      <c r="A108" s="15" t="n">
        <v>104</v>
      </c>
      <c r="B108" s="15" t="s">
        <v>303</v>
      </c>
      <c r="C108" s="15" t="s">
        <v>304</v>
      </c>
      <c r="D108" s="16" t="n">
        <v>46360</v>
      </c>
      <c r="E108" s="15" t="str">
        <f aca="false">CHOOSE(WEEKDAY(D108),"Dom","Seg","Ter","Qua","Qui","Sex","Sáb")</f>
        <v>Sex</v>
      </c>
      <c r="F108" s="17" t="s">
        <v>22</v>
      </c>
      <c r="G108" s="22" t="s">
        <v>48</v>
      </c>
      <c r="H108" s="19" t="s">
        <v>332</v>
      </c>
      <c r="I108" s="19" t="s">
        <v>345</v>
      </c>
      <c r="J108" s="20" t="s">
        <v>346</v>
      </c>
      <c r="K108" s="19" t="s">
        <v>95</v>
      </c>
      <c r="L108" s="16" t="n">
        <f aca="false">WORKDAY(D108,-Premissas!$B$4,Premissas!$E$5:$E$11)</f>
        <v>46358</v>
      </c>
      <c r="M108" s="21" t="s">
        <v>47</v>
      </c>
      <c r="N108" s="21"/>
      <c r="O108" s="19"/>
    </row>
    <row r="109" customFormat="false" ht="48" hidden="false" customHeight="true" outlineLevel="0" collapsed="false">
      <c r="A109" s="15" t="n">
        <v>105</v>
      </c>
      <c r="B109" s="15" t="s">
        <v>303</v>
      </c>
      <c r="C109" s="15" t="s">
        <v>347</v>
      </c>
      <c r="D109" s="16" t="n">
        <v>46364</v>
      </c>
      <c r="E109" s="15" t="str">
        <f aca="false">CHOOSE(WEEKDAY(D109),"Dom","Seg","Ter","Qua","Qui","Sex","Sáb")</f>
        <v>Ter</v>
      </c>
      <c r="F109" s="17" t="s">
        <v>15</v>
      </c>
      <c r="G109" s="18" t="s">
        <v>42</v>
      </c>
      <c r="H109" s="19" t="s">
        <v>80</v>
      </c>
      <c r="I109" s="19" t="s">
        <v>348</v>
      </c>
      <c r="J109" s="20" t="s">
        <v>349</v>
      </c>
      <c r="K109" s="19" t="s">
        <v>46</v>
      </c>
      <c r="L109" s="16" t="n">
        <f aca="false">WORKDAY(D109,-Premissas!$B$4,Premissas!$E$5:$E$11)</f>
        <v>46360</v>
      </c>
      <c r="M109" s="21" t="s">
        <v>47</v>
      </c>
      <c r="N109" s="21"/>
      <c r="O109" s="24" t="s">
        <v>309</v>
      </c>
    </row>
    <row r="110" customFormat="false" ht="48" hidden="false" customHeight="true" outlineLevel="0" collapsed="false">
      <c r="A110" s="15" t="n">
        <v>106</v>
      </c>
      <c r="B110" s="15" t="s">
        <v>303</v>
      </c>
      <c r="C110" s="15" t="s">
        <v>347</v>
      </c>
      <c r="D110" s="16" t="n">
        <v>46364</v>
      </c>
      <c r="E110" s="15" t="str">
        <f aca="false">CHOOSE(WEEKDAY(D110),"Dom","Seg","Ter","Qua","Qui","Sex","Sáb")</f>
        <v>Ter</v>
      </c>
      <c r="F110" s="17" t="s">
        <v>15</v>
      </c>
      <c r="G110" s="23" t="s">
        <v>52</v>
      </c>
      <c r="H110" s="19" t="s">
        <v>350</v>
      </c>
      <c r="I110" s="19" t="s">
        <v>351</v>
      </c>
      <c r="J110" s="20" t="s">
        <v>352</v>
      </c>
      <c r="K110" s="19" t="s">
        <v>46</v>
      </c>
      <c r="L110" s="16" t="n">
        <f aca="false">WORKDAY(D110,-Premissas!$B$4,Premissas!$E$5:$E$11)</f>
        <v>46360</v>
      </c>
      <c r="M110" s="21" t="s">
        <v>47</v>
      </c>
      <c r="N110" s="21"/>
      <c r="O110" s="19"/>
    </row>
    <row r="111" customFormat="false" ht="48" hidden="false" customHeight="true" outlineLevel="0" collapsed="false">
      <c r="A111" s="15" t="n">
        <v>107</v>
      </c>
      <c r="B111" s="15" t="s">
        <v>303</v>
      </c>
      <c r="C111" s="15" t="s">
        <v>347</v>
      </c>
      <c r="D111" s="16" t="n">
        <v>46364</v>
      </c>
      <c r="E111" s="15" t="str">
        <f aca="false">CHOOSE(WEEKDAY(D111),"Dom","Seg","Ter","Qua","Qui","Sex","Sáb")</f>
        <v>Ter</v>
      </c>
      <c r="F111" s="17" t="s">
        <v>16</v>
      </c>
      <c r="G111" s="18" t="s">
        <v>42</v>
      </c>
      <c r="H111" s="19" t="s">
        <v>353</v>
      </c>
      <c r="I111" s="19" t="s">
        <v>354</v>
      </c>
      <c r="J111" s="20" t="s">
        <v>355</v>
      </c>
      <c r="K111" s="19" t="s">
        <v>56</v>
      </c>
      <c r="L111" s="16" t="n">
        <f aca="false">WORKDAY(D111,-Premissas!$B$4,Premissas!$E$5:$E$11)</f>
        <v>46360</v>
      </c>
      <c r="M111" s="21" t="s">
        <v>47</v>
      </c>
      <c r="N111" s="21"/>
      <c r="O111" s="24" t="s">
        <v>57</v>
      </c>
    </row>
    <row r="112" customFormat="false" ht="48" hidden="false" customHeight="true" outlineLevel="0" collapsed="false">
      <c r="A112" s="15" t="n">
        <v>108</v>
      </c>
      <c r="B112" s="15" t="s">
        <v>303</v>
      </c>
      <c r="C112" s="15" t="s">
        <v>347</v>
      </c>
      <c r="D112" s="16" t="n">
        <v>46364</v>
      </c>
      <c r="E112" s="15" t="str">
        <f aca="false">CHOOSE(WEEKDAY(D112),"Dom","Seg","Ter","Qua","Qui","Sex","Sáb")</f>
        <v>Ter</v>
      </c>
      <c r="F112" s="17" t="s">
        <v>16</v>
      </c>
      <c r="G112" s="23" t="s">
        <v>52</v>
      </c>
      <c r="H112" s="19" t="s">
        <v>356</v>
      </c>
      <c r="I112" s="19" t="s">
        <v>357</v>
      </c>
      <c r="J112" s="20" t="s">
        <v>358</v>
      </c>
      <c r="K112" s="19" t="s">
        <v>56</v>
      </c>
      <c r="L112" s="16" t="n">
        <f aca="false">WORKDAY(D112,-Premissas!$B$4,Premissas!$E$5:$E$11)</f>
        <v>46360</v>
      </c>
      <c r="M112" s="21" t="s">
        <v>47</v>
      </c>
      <c r="N112" s="21"/>
      <c r="O112" s="19"/>
    </row>
    <row r="113" customFormat="false" ht="48" hidden="false" customHeight="true" outlineLevel="0" collapsed="false">
      <c r="A113" s="15" t="n">
        <v>109</v>
      </c>
      <c r="B113" s="15" t="s">
        <v>303</v>
      </c>
      <c r="C113" s="15" t="s">
        <v>347</v>
      </c>
      <c r="D113" s="16" t="n">
        <v>46365</v>
      </c>
      <c r="E113" s="15" t="str">
        <f aca="false">CHOOSE(WEEKDAY(D113),"Dom","Seg","Ter","Qua","Qui","Sex","Sáb")</f>
        <v>Qua</v>
      </c>
      <c r="F113" s="17" t="s">
        <v>17</v>
      </c>
      <c r="G113" s="23" t="s">
        <v>52</v>
      </c>
      <c r="H113" s="19" t="s">
        <v>359</v>
      </c>
      <c r="I113" s="19" t="s">
        <v>360</v>
      </c>
      <c r="J113" s="20" t="s">
        <v>361</v>
      </c>
      <c r="K113" s="19" t="s">
        <v>46</v>
      </c>
      <c r="L113" s="16" t="n">
        <f aca="false">WORKDAY(D113,-Premissas!$B$4,Premissas!$E$5:$E$11)</f>
        <v>46360</v>
      </c>
      <c r="M113" s="21" t="s">
        <v>47</v>
      </c>
      <c r="N113" s="21"/>
      <c r="O113" s="19"/>
    </row>
    <row r="114" customFormat="false" ht="48" hidden="false" customHeight="true" outlineLevel="0" collapsed="false">
      <c r="A114" s="15" t="n">
        <v>110</v>
      </c>
      <c r="B114" s="15" t="s">
        <v>303</v>
      </c>
      <c r="C114" s="15" t="s">
        <v>347</v>
      </c>
      <c r="D114" s="16" t="n">
        <v>46365</v>
      </c>
      <c r="E114" s="15" t="str">
        <f aca="false">CHOOSE(WEEKDAY(D114),"Dom","Seg","Ter","Qua","Qui","Sex","Sáb")</f>
        <v>Qua</v>
      </c>
      <c r="F114" s="17" t="s">
        <v>17</v>
      </c>
      <c r="G114" s="22" t="s">
        <v>48</v>
      </c>
      <c r="H114" s="19" t="s">
        <v>362</v>
      </c>
      <c r="I114" s="19" t="s">
        <v>363</v>
      </c>
      <c r="J114" s="20" t="s">
        <v>364</v>
      </c>
      <c r="K114" s="19" t="s">
        <v>46</v>
      </c>
      <c r="L114" s="16" t="n">
        <f aca="false">WORKDAY(D114,-Premissas!$B$4,Premissas!$E$5:$E$11)</f>
        <v>46360</v>
      </c>
      <c r="M114" s="21" t="s">
        <v>47</v>
      </c>
      <c r="N114" s="21"/>
      <c r="O114" s="24" t="s">
        <v>118</v>
      </c>
    </row>
    <row r="115" customFormat="false" ht="48" hidden="false" customHeight="true" outlineLevel="0" collapsed="false">
      <c r="A115" s="15" t="n">
        <v>111</v>
      </c>
      <c r="B115" s="15" t="s">
        <v>303</v>
      </c>
      <c r="C115" s="15" t="s">
        <v>347</v>
      </c>
      <c r="D115" s="16" t="n">
        <v>46365</v>
      </c>
      <c r="E115" s="15" t="str">
        <f aca="false">CHOOSE(WEEKDAY(D115),"Dom","Seg","Ter","Qua","Qui","Sex","Sáb")</f>
        <v>Qua</v>
      </c>
      <c r="F115" s="17" t="s">
        <v>18</v>
      </c>
      <c r="G115" s="18" t="s">
        <v>42</v>
      </c>
      <c r="H115" s="19" t="s">
        <v>365</v>
      </c>
      <c r="I115" s="19" t="s">
        <v>366</v>
      </c>
      <c r="J115" s="20" t="s">
        <v>367</v>
      </c>
      <c r="K115" s="19" t="s">
        <v>70</v>
      </c>
      <c r="L115" s="16" t="n">
        <f aca="false">WORKDAY(D115,-Premissas!$B$4,Premissas!$E$5:$E$11)</f>
        <v>46360</v>
      </c>
      <c r="M115" s="21" t="s">
        <v>47</v>
      </c>
      <c r="N115" s="21"/>
      <c r="O115" s="19"/>
    </row>
    <row r="116" customFormat="false" ht="48" hidden="false" customHeight="true" outlineLevel="0" collapsed="false">
      <c r="A116" s="15" t="n">
        <v>112</v>
      </c>
      <c r="B116" s="15" t="s">
        <v>303</v>
      </c>
      <c r="C116" s="15" t="s">
        <v>347</v>
      </c>
      <c r="D116" s="16" t="n">
        <v>46365</v>
      </c>
      <c r="E116" s="15" t="str">
        <f aca="false">CHOOSE(WEEKDAY(D116),"Dom","Seg","Ter","Qua","Qui","Sex","Sáb")</f>
        <v>Qua</v>
      </c>
      <c r="F116" s="17" t="s">
        <v>18</v>
      </c>
      <c r="G116" s="23" t="s">
        <v>52</v>
      </c>
      <c r="H116" s="19" t="s">
        <v>221</v>
      </c>
      <c r="I116" s="19" t="s">
        <v>368</v>
      </c>
      <c r="J116" s="20" t="s">
        <v>369</v>
      </c>
      <c r="K116" s="19" t="s">
        <v>70</v>
      </c>
      <c r="L116" s="16" t="n">
        <f aca="false">WORKDAY(D116,-Premissas!$B$4,Premissas!$E$5:$E$11)</f>
        <v>46360</v>
      </c>
      <c r="M116" s="21" t="s">
        <v>47</v>
      </c>
      <c r="N116" s="21"/>
      <c r="O116" s="19"/>
    </row>
    <row r="117" customFormat="false" ht="48" hidden="false" customHeight="true" outlineLevel="0" collapsed="false">
      <c r="A117" s="15" t="n">
        <v>113</v>
      </c>
      <c r="B117" s="15" t="s">
        <v>303</v>
      </c>
      <c r="C117" s="15" t="s">
        <v>347</v>
      </c>
      <c r="D117" s="16" t="n">
        <v>46366</v>
      </c>
      <c r="E117" s="15" t="str">
        <f aca="false">CHOOSE(WEEKDAY(D117),"Dom","Seg","Ter","Qua","Qui","Sex","Sáb")</f>
        <v>Qui</v>
      </c>
      <c r="F117" s="17" t="s">
        <v>19</v>
      </c>
      <c r="G117" s="18" t="s">
        <v>42</v>
      </c>
      <c r="H117" s="19" t="s">
        <v>172</v>
      </c>
      <c r="I117" s="19" t="s">
        <v>370</v>
      </c>
      <c r="J117" s="20" t="s">
        <v>371</v>
      </c>
      <c r="K117" s="19" t="s">
        <v>46</v>
      </c>
      <c r="L117" s="16" t="n">
        <f aca="false">WORKDAY(D117,-Premissas!$B$4,Premissas!$E$5:$E$11)</f>
        <v>46363</v>
      </c>
      <c r="M117" s="21" t="s">
        <v>47</v>
      </c>
      <c r="N117" s="21"/>
      <c r="O117" s="19"/>
    </row>
    <row r="118" customFormat="false" ht="48" hidden="false" customHeight="true" outlineLevel="0" collapsed="false">
      <c r="A118" s="15" t="n">
        <v>114</v>
      </c>
      <c r="B118" s="15" t="s">
        <v>303</v>
      </c>
      <c r="C118" s="15" t="s">
        <v>347</v>
      </c>
      <c r="D118" s="16" t="n">
        <v>46366</v>
      </c>
      <c r="E118" s="15" t="str">
        <f aca="false">CHOOSE(WEEKDAY(D118),"Dom","Seg","Ter","Qua","Qui","Sex","Sáb")</f>
        <v>Qui</v>
      </c>
      <c r="F118" s="17" t="s">
        <v>19</v>
      </c>
      <c r="G118" s="23" t="s">
        <v>52</v>
      </c>
      <c r="H118" s="19" t="s">
        <v>372</v>
      </c>
      <c r="I118" s="19" t="s">
        <v>373</v>
      </c>
      <c r="J118" s="20" t="s">
        <v>374</v>
      </c>
      <c r="K118" s="19" t="s">
        <v>46</v>
      </c>
      <c r="L118" s="16" t="n">
        <f aca="false">WORKDAY(D118,-Premissas!$B$4,Premissas!$E$5:$E$11)</f>
        <v>46363</v>
      </c>
      <c r="M118" s="21" t="s">
        <v>47</v>
      </c>
      <c r="N118" s="21"/>
      <c r="O118" s="19"/>
    </row>
    <row r="119" customFormat="false" ht="48" hidden="false" customHeight="true" outlineLevel="0" collapsed="false">
      <c r="A119" s="15" t="n">
        <v>115</v>
      </c>
      <c r="B119" s="15" t="s">
        <v>303</v>
      </c>
      <c r="C119" s="15" t="s">
        <v>347</v>
      </c>
      <c r="D119" s="16" t="n">
        <v>46366</v>
      </c>
      <c r="E119" s="15" t="str">
        <f aca="false">CHOOSE(WEEKDAY(D119),"Dom","Seg","Ter","Qua","Qui","Sex","Sáb")</f>
        <v>Qui</v>
      </c>
      <c r="F119" s="17" t="s">
        <v>20</v>
      </c>
      <c r="G119" s="23" t="s">
        <v>52</v>
      </c>
      <c r="H119" s="19" t="s">
        <v>375</v>
      </c>
      <c r="I119" s="19" t="s">
        <v>376</v>
      </c>
      <c r="J119" s="20" t="s">
        <v>377</v>
      </c>
      <c r="K119" s="19" t="s">
        <v>83</v>
      </c>
      <c r="L119" s="16" t="n">
        <f aca="false">WORKDAY(D119,-Premissas!$B$4,Premissas!$E$5:$E$11)</f>
        <v>46363</v>
      </c>
      <c r="M119" s="21" t="s">
        <v>47</v>
      </c>
      <c r="N119" s="21"/>
      <c r="O119" s="19"/>
    </row>
    <row r="120" customFormat="false" ht="48" hidden="false" customHeight="true" outlineLevel="0" collapsed="false">
      <c r="A120" s="15" t="n">
        <v>116</v>
      </c>
      <c r="B120" s="15" t="s">
        <v>303</v>
      </c>
      <c r="C120" s="15" t="s">
        <v>347</v>
      </c>
      <c r="D120" s="16" t="n">
        <v>46366</v>
      </c>
      <c r="E120" s="15" t="str">
        <f aca="false">CHOOSE(WEEKDAY(D120),"Dom","Seg","Ter","Qua","Qui","Sex","Sáb")</f>
        <v>Qui</v>
      </c>
      <c r="F120" s="17" t="s">
        <v>20</v>
      </c>
      <c r="G120" s="22" t="s">
        <v>48</v>
      </c>
      <c r="H120" s="19" t="s">
        <v>378</v>
      </c>
      <c r="I120" s="19" t="s">
        <v>379</v>
      </c>
      <c r="J120" s="20" t="s">
        <v>380</v>
      </c>
      <c r="K120" s="19" t="s">
        <v>83</v>
      </c>
      <c r="L120" s="16" t="n">
        <f aca="false">WORKDAY(D120,-Premissas!$B$4,Premissas!$E$5:$E$11)</f>
        <v>46363</v>
      </c>
      <c r="M120" s="21" t="s">
        <v>47</v>
      </c>
      <c r="N120" s="21"/>
      <c r="O120" s="19"/>
    </row>
    <row r="121" customFormat="false" ht="48" hidden="false" customHeight="true" outlineLevel="0" collapsed="false">
      <c r="A121" s="15" t="n">
        <v>117</v>
      </c>
      <c r="B121" s="15" t="s">
        <v>303</v>
      </c>
      <c r="C121" s="15" t="s">
        <v>347</v>
      </c>
      <c r="D121" s="16" t="n">
        <v>46367</v>
      </c>
      <c r="E121" s="15" t="str">
        <f aca="false">CHOOSE(WEEKDAY(D121),"Dom","Seg","Ter","Qua","Qui","Sex","Sáb")</f>
        <v>Sex</v>
      </c>
      <c r="F121" s="17" t="s">
        <v>21</v>
      </c>
      <c r="G121" s="18" t="s">
        <v>42</v>
      </c>
      <c r="H121" s="19" t="s">
        <v>381</v>
      </c>
      <c r="I121" s="19" t="s">
        <v>382</v>
      </c>
      <c r="J121" s="20" t="s">
        <v>383</v>
      </c>
      <c r="K121" s="19" t="s">
        <v>46</v>
      </c>
      <c r="L121" s="16" t="n">
        <f aca="false">WORKDAY(D121,-Premissas!$B$4,Premissas!$E$5:$E$11)</f>
        <v>46365</v>
      </c>
      <c r="M121" s="21" t="s">
        <v>47</v>
      </c>
      <c r="N121" s="21"/>
      <c r="O121" s="19"/>
    </row>
    <row r="122" customFormat="false" ht="48" hidden="false" customHeight="true" outlineLevel="0" collapsed="false">
      <c r="A122" s="15" t="n">
        <v>118</v>
      </c>
      <c r="B122" s="15" t="s">
        <v>303</v>
      </c>
      <c r="C122" s="15" t="s">
        <v>347</v>
      </c>
      <c r="D122" s="16" t="n">
        <v>46367</v>
      </c>
      <c r="E122" s="15" t="str">
        <f aca="false">CHOOSE(WEEKDAY(D122),"Dom","Seg","Ter","Qua","Qui","Sex","Sáb")</f>
        <v>Sex</v>
      </c>
      <c r="F122" s="17" t="s">
        <v>21</v>
      </c>
      <c r="G122" s="23" t="s">
        <v>52</v>
      </c>
      <c r="H122" s="19" t="s">
        <v>384</v>
      </c>
      <c r="I122" s="19" t="s">
        <v>385</v>
      </c>
      <c r="J122" s="20" t="s">
        <v>386</v>
      </c>
      <c r="K122" s="19" t="s">
        <v>46</v>
      </c>
      <c r="L122" s="16" t="n">
        <f aca="false">WORKDAY(D122,-Premissas!$B$4,Premissas!$E$5:$E$11)</f>
        <v>46365</v>
      </c>
      <c r="M122" s="21" t="s">
        <v>47</v>
      </c>
      <c r="N122" s="21"/>
      <c r="O122" s="19"/>
    </row>
    <row r="123" customFormat="false" ht="48" hidden="false" customHeight="true" outlineLevel="0" collapsed="false">
      <c r="A123" s="15" t="n">
        <v>119</v>
      </c>
      <c r="B123" s="15" t="s">
        <v>303</v>
      </c>
      <c r="C123" s="15" t="s">
        <v>347</v>
      </c>
      <c r="D123" s="16" t="n">
        <v>46367</v>
      </c>
      <c r="E123" s="15" t="str">
        <f aca="false">CHOOSE(WEEKDAY(D123),"Dom","Seg","Ter","Qua","Qui","Sex","Sáb")</f>
        <v>Sex</v>
      </c>
      <c r="F123" s="17" t="s">
        <v>22</v>
      </c>
      <c r="G123" s="18" t="s">
        <v>42</v>
      </c>
      <c r="H123" s="19" t="s">
        <v>387</v>
      </c>
      <c r="I123" s="19" t="s">
        <v>388</v>
      </c>
      <c r="J123" s="20" t="s">
        <v>389</v>
      </c>
      <c r="K123" s="19" t="s">
        <v>95</v>
      </c>
      <c r="L123" s="16" t="n">
        <f aca="false">WORKDAY(D123,-Premissas!$B$4,Premissas!$E$5:$E$11)</f>
        <v>46365</v>
      </c>
      <c r="M123" s="21" t="s">
        <v>47</v>
      </c>
      <c r="N123" s="21"/>
      <c r="O123" s="19"/>
    </row>
    <row r="124" customFormat="false" ht="48" hidden="false" customHeight="true" outlineLevel="0" collapsed="false">
      <c r="A124" s="15" t="n">
        <v>120</v>
      </c>
      <c r="B124" s="15" t="s">
        <v>303</v>
      </c>
      <c r="C124" s="15" t="s">
        <v>347</v>
      </c>
      <c r="D124" s="16" t="n">
        <v>46367</v>
      </c>
      <c r="E124" s="15" t="str">
        <f aca="false">CHOOSE(WEEKDAY(D124),"Dom","Seg","Ter","Qua","Qui","Sex","Sáb")</f>
        <v>Sex</v>
      </c>
      <c r="F124" s="17" t="s">
        <v>22</v>
      </c>
      <c r="G124" s="23" t="s">
        <v>52</v>
      </c>
      <c r="H124" s="19" t="s">
        <v>77</v>
      </c>
      <c r="I124" s="19" t="s">
        <v>390</v>
      </c>
      <c r="J124" s="20" t="s">
        <v>391</v>
      </c>
      <c r="K124" s="19" t="s">
        <v>95</v>
      </c>
      <c r="L124" s="16" t="n">
        <f aca="false">WORKDAY(D124,-Premissas!$B$4,Premissas!$E$5:$E$11)</f>
        <v>46365</v>
      </c>
      <c r="M124" s="21" t="s">
        <v>47</v>
      </c>
      <c r="N124" s="21"/>
      <c r="O124" s="19"/>
    </row>
    <row r="125" customFormat="false" ht="48" hidden="false" customHeight="true" outlineLevel="0" collapsed="false">
      <c r="A125" s="15" t="n">
        <v>121</v>
      </c>
      <c r="B125" s="15" t="s">
        <v>303</v>
      </c>
      <c r="C125" s="15" t="s">
        <v>392</v>
      </c>
      <c r="D125" s="16" t="n">
        <v>46371</v>
      </c>
      <c r="E125" s="15" t="str">
        <f aca="false">CHOOSE(WEEKDAY(D125),"Dom","Seg","Ter","Qua","Qui","Sex","Sáb")</f>
        <v>Ter</v>
      </c>
      <c r="F125" s="17" t="s">
        <v>15</v>
      </c>
      <c r="G125" s="23" t="s">
        <v>52</v>
      </c>
      <c r="H125" s="19" t="s">
        <v>393</v>
      </c>
      <c r="I125" s="19" t="s">
        <v>394</v>
      </c>
      <c r="J125" s="20" t="s">
        <v>395</v>
      </c>
      <c r="K125" s="19" t="s">
        <v>46</v>
      </c>
      <c r="L125" s="16" t="n">
        <f aca="false">WORKDAY(D125,-Premissas!$B$4,Premissas!$E$5:$E$11)</f>
        <v>46367</v>
      </c>
      <c r="M125" s="21" t="s">
        <v>47</v>
      </c>
      <c r="N125" s="21"/>
      <c r="O125" s="19"/>
    </row>
    <row r="126" customFormat="false" ht="48" hidden="false" customHeight="true" outlineLevel="0" collapsed="false">
      <c r="A126" s="15" t="n">
        <v>122</v>
      </c>
      <c r="B126" s="15" t="s">
        <v>303</v>
      </c>
      <c r="C126" s="15" t="s">
        <v>392</v>
      </c>
      <c r="D126" s="16" t="n">
        <v>46371</v>
      </c>
      <c r="E126" s="15" t="str">
        <f aca="false">CHOOSE(WEEKDAY(D126),"Dom","Seg","Ter","Qua","Qui","Sex","Sáb")</f>
        <v>Ter</v>
      </c>
      <c r="F126" s="17" t="s">
        <v>15</v>
      </c>
      <c r="G126" s="22" t="s">
        <v>48</v>
      </c>
      <c r="H126" s="19" t="s">
        <v>396</v>
      </c>
      <c r="I126" s="19" t="s">
        <v>397</v>
      </c>
      <c r="J126" s="20" t="s">
        <v>398</v>
      </c>
      <c r="K126" s="19" t="s">
        <v>46</v>
      </c>
      <c r="L126" s="16" t="n">
        <f aca="false">WORKDAY(D126,-Premissas!$B$4,Premissas!$E$5:$E$11)</f>
        <v>46367</v>
      </c>
      <c r="M126" s="21" t="s">
        <v>47</v>
      </c>
      <c r="N126" s="21"/>
      <c r="O126" s="19"/>
    </row>
    <row r="127" customFormat="false" ht="48" hidden="false" customHeight="true" outlineLevel="0" collapsed="false">
      <c r="A127" s="15" t="n">
        <v>123</v>
      </c>
      <c r="B127" s="15" t="s">
        <v>303</v>
      </c>
      <c r="C127" s="15" t="s">
        <v>392</v>
      </c>
      <c r="D127" s="16" t="n">
        <v>46371</v>
      </c>
      <c r="E127" s="15" t="str">
        <f aca="false">CHOOSE(WEEKDAY(D127),"Dom","Seg","Ter","Qua","Qui","Sex","Sáb")</f>
        <v>Ter</v>
      </c>
      <c r="F127" s="17" t="s">
        <v>16</v>
      </c>
      <c r="G127" s="18" t="s">
        <v>42</v>
      </c>
      <c r="H127" s="19" t="s">
        <v>396</v>
      </c>
      <c r="I127" s="19" t="s">
        <v>399</v>
      </c>
      <c r="J127" s="20" t="s">
        <v>400</v>
      </c>
      <c r="K127" s="19" t="s">
        <v>56</v>
      </c>
      <c r="L127" s="16" t="n">
        <f aca="false">WORKDAY(D127,-Premissas!$B$4,Premissas!$E$5:$E$11)</f>
        <v>46367</v>
      </c>
      <c r="M127" s="21" t="s">
        <v>47</v>
      </c>
      <c r="N127" s="21"/>
      <c r="O127" s="19"/>
    </row>
    <row r="128" customFormat="false" ht="48" hidden="false" customHeight="true" outlineLevel="0" collapsed="false">
      <c r="A128" s="15" t="n">
        <v>124</v>
      </c>
      <c r="B128" s="15" t="s">
        <v>303</v>
      </c>
      <c r="C128" s="15" t="s">
        <v>392</v>
      </c>
      <c r="D128" s="16" t="n">
        <v>46371</v>
      </c>
      <c r="E128" s="15" t="str">
        <f aca="false">CHOOSE(WEEKDAY(D128),"Dom","Seg","Ter","Qua","Qui","Sex","Sáb")</f>
        <v>Ter</v>
      </c>
      <c r="F128" s="17" t="s">
        <v>16</v>
      </c>
      <c r="G128" s="22" t="s">
        <v>48</v>
      </c>
      <c r="H128" s="19" t="s">
        <v>340</v>
      </c>
      <c r="I128" s="19" t="s">
        <v>363</v>
      </c>
      <c r="J128" s="20" t="s">
        <v>401</v>
      </c>
      <c r="K128" s="19" t="s">
        <v>56</v>
      </c>
      <c r="L128" s="16" t="n">
        <f aca="false">WORKDAY(D128,-Premissas!$B$4,Premissas!$E$5:$E$11)</f>
        <v>46367</v>
      </c>
      <c r="M128" s="21" t="s">
        <v>47</v>
      </c>
      <c r="N128" s="21"/>
      <c r="O128" s="19"/>
    </row>
    <row r="129" customFormat="false" ht="48" hidden="false" customHeight="true" outlineLevel="0" collapsed="false">
      <c r="A129" s="15" t="n">
        <v>125</v>
      </c>
      <c r="B129" s="15" t="s">
        <v>303</v>
      </c>
      <c r="C129" s="15" t="s">
        <v>392</v>
      </c>
      <c r="D129" s="16" t="n">
        <v>46372</v>
      </c>
      <c r="E129" s="15" t="str">
        <f aca="false">CHOOSE(WEEKDAY(D129),"Dom","Seg","Ter","Qua","Qui","Sex","Sáb")</f>
        <v>Qua</v>
      </c>
      <c r="F129" s="17" t="s">
        <v>17</v>
      </c>
      <c r="G129" s="18" t="s">
        <v>42</v>
      </c>
      <c r="H129" s="19" t="s">
        <v>396</v>
      </c>
      <c r="I129" s="19" t="s">
        <v>402</v>
      </c>
      <c r="J129" s="20" t="s">
        <v>403</v>
      </c>
      <c r="K129" s="19" t="s">
        <v>46</v>
      </c>
      <c r="L129" s="16" t="n">
        <f aca="false">WORKDAY(D129,-Premissas!$B$4,Premissas!$E$5:$E$11)</f>
        <v>46370</v>
      </c>
      <c r="M129" s="21" t="s">
        <v>47</v>
      </c>
      <c r="N129" s="21"/>
      <c r="O129" s="19"/>
    </row>
    <row r="130" customFormat="false" ht="48" hidden="false" customHeight="true" outlineLevel="0" collapsed="false">
      <c r="A130" s="15" t="n">
        <v>126</v>
      </c>
      <c r="B130" s="15" t="s">
        <v>303</v>
      </c>
      <c r="C130" s="15" t="s">
        <v>392</v>
      </c>
      <c r="D130" s="16" t="n">
        <v>46372</v>
      </c>
      <c r="E130" s="15" t="str">
        <f aca="false">CHOOSE(WEEKDAY(D130),"Dom","Seg","Ter","Qua","Qui","Sex","Sáb")</f>
        <v>Qua</v>
      </c>
      <c r="F130" s="17" t="s">
        <v>17</v>
      </c>
      <c r="G130" s="23" t="s">
        <v>52</v>
      </c>
      <c r="H130" s="19" t="s">
        <v>404</v>
      </c>
      <c r="I130" s="19" t="s">
        <v>405</v>
      </c>
      <c r="J130" s="20" t="s">
        <v>406</v>
      </c>
      <c r="K130" s="19" t="s">
        <v>46</v>
      </c>
      <c r="L130" s="16" t="n">
        <f aca="false">WORKDAY(D130,-Premissas!$B$4,Premissas!$E$5:$E$11)</f>
        <v>46370</v>
      </c>
      <c r="M130" s="21" t="s">
        <v>47</v>
      </c>
      <c r="N130" s="21"/>
      <c r="O130" s="19"/>
    </row>
    <row r="131" customFormat="false" ht="48" hidden="false" customHeight="true" outlineLevel="0" collapsed="false">
      <c r="A131" s="15" t="n">
        <v>127</v>
      </c>
      <c r="B131" s="15" t="s">
        <v>303</v>
      </c>
      <c r="C131" s="15" t="s">
        <v>392</v>
      </c>
      <c r="D131" s="16" t="n">
        <v>46372</v>
      </c>
      <c r="E131" s="15" t="str">
        <f aca="false">CHOOSE(WEEKDAY(D131),"Dom","Seg","Ter","Qua","Qui","Sex","Sáb")</f>
        <v>Qua</v>
      </c>
      <c r="F131" s="17" t="s">
        <v>18</v>
      </c>
      <c r="G131" s="23" t="s">
        <v>52</v>
      </c>
      <c r="H131" s="19" t="s">
        <v>407</v>
      </c>
      <c r="I131" s="19" t="s">
        <v>408</v>
      </c>
      <c r="J131" s="20" t="s">
        <v>409</v>
      </c>
      <c r="K131" s="19" t="s">
        <v>70</v>
      </c>
      <c r="L131" s="16" t="n">
        <f aca="false">WORKDAY(D131,-Premissas!$B$4,Premissas!$E$5:$E$11)</f>
        <v>46370</v>
      </c>
      <c r="M131" s="21" t="s">
        <v>47</v>
      </c>
      <c r="N131" s="21"/>
      <c r="O131" s="24" t="s">
        <v>410</v>
      </c>
    </row>
    <row r="132" customFormat="false" ht="48" hidden="false" customHeight="true" outlineLevel="0" collapsed="false">
      <c r="A132" s="15" t="n">
        <v>128</v>
      </c>
      <c r="B132" s="15" t="s">
        <v>303</v>
      </c>
      <c r="C132" s="15" t="s">
        <v>392</v>
      </c>
      <c r="D132" s="16" t="n">
        <v>46372</v>
      </c>
      <c r="E132" s="15" t="str">
        <f aca="false">CHOOSE(WEEKDAY(D132),"Dom","Seg","Ter","Qua","Qui","Sex","Sáb")</f>
        <v>Qua</v>
      </c>
      <c r="F132" s="17" t="s">
        <v>18</v>
      </c>
      <c r="G132" s="22" t="s">
        <v>48</v>
      </c>
      <c r="H132" s="19" t="s">
        <v>396</v>
      </c>
      <c r="I132" s="19" t="s">
        <v>411</v>
      </c>
      <c r="J132" s="20" t="s">
        <v>412</v>
      </c>
      <c r="K132" s="19" t="s">
        <v>70</v>
      </c>
      <c r="L132" s="16" t="n">
        <f aca="false">WORKDAY(D132,-Premissas!$B$4,Premissas!$E$5:$E$11)</f>
        <v>46370</v>
      </c>
      <c r="M132" s="21" t="s">
        <v>47</v>
      </c>
      <c r="N132" s="21"/>
      <c r="O132" s="19"/>
    </row>
    <row r="133" customFormat="false" ht="48" hidden="false" customHeight="true" outlineLevel="0" collapsed="false">
      <c r="A133" s="15" t="n">
        <v>129</v>
      </c>
      <c r="B133" s="15" t="s">
        <v>303</v>
      </c>
      <c r="C133" s="15" t="s">
        <v>392</v>
      </c>
      <c r="D133" s="16" t="n">
        <v>46373</v>
      </c>
      <c r="E133" s="15" t="str">
        <f aca="false">CHOOSE(WEEKDAY(D133),"Dom","Seg","Ter","Qua","Qui","Sex","Sáb")</f>
        <v>Qui</v>
      </c>
      <c r="F133" s="17" t="s">
        <v>19</v>
      </c>
      <c r="G133" s="18" t="s">
        <v>42</v>
      </c>
      <c r="H133" s="19" t="s">
        <v>413</v>
      </c>
      <c r="I133" s="19" t="s">
        <v>414</v>
      </c>
      <c r="J133" s="20" t="s">
        <v>415</v>
      </c>
      <c r="K133" s="19" t="s">
        <v>46</v>
      </c>
      <c r="L133" s="16" t="n">
        <f aca="false">WORKDAY(D133,-Premissas!$B$4,Premissas!$E$5:$E$11)</f>
        <v>46371</v>
      </c>
      <c r="M133" s="21" t="s">
        <v>47</v>
      </c>
      <c r="N133" s="21"/>
      <c r="O133" s="19"/>
    </row>
    <row r="134" customFormat="false" ht="48" hidden="false" customHeight="true" outlineLevel="0" collapsed="false">
      <c r="A134" s="15" t="n">
        <v>130</v>
      </c>
      <c r="B134" s="15" t="s">
        <v>303</v>
      </c>
      <c r="C134" s="15" t="s">
        <v>392</v>
      </c>
      <c r="D134" s="16" t="n">
        <v>46373</v>
      </c>
      <c r="E134" s="15" t="str">
        <f aca="false">CHOOSE(WEEKDAY(D134),"Dom","Seg","Ter","Qua","Qui","Sex","Sáb")</f>
        <v>Qui</v>
      </c>
      <c r="F134" s="17" t="s">
        <v>19</v>
      </c>
      <c r="G134" s="22" t="s">
        <v>48</v>
      </c>
      <c r="H134" s="19" t="s">
        <v>416</v>
      </c>
      <c r="I134" s="19" t="s">
        <v>417</v>
      </c>
      <c r="J134" s="20" t="s">
        <v>418</v>
      </c>
      <c r="K134" s="19" t="s">
        <v>46</v>
      </c>
      <c r="L134" s="16" t="n">
        <f aca="false">WORKDAY(D134,-Premissas!$B$4,Premissas!$E$5:$E$11)</f>
        <v>46371</v>
      </c>
      <c r="M134" s="21" t="s">
        <v>47</v>
      </c>
      <c r="N134" s="21"/>
      <c r="O134" s="19"/>
    </row>
    <row r="135" customFormat="false" ht="48" hidden="false" customHeight="true" outlineLevel="0" collapsed="false">
      <c r="A135" s="15" t="n">
        <v>131</v>
      </c>
      <c r="B135" s="15" t="s">
        <v>303</v>
      </c>
      <c r="C135" s="15" t="s">
        <v>392</v>
      </c>
      <c r="D135" s="16" t="n">
        <v>46373</v>
      </c>
      <c r="E135" s="15" t="str">
        <f aca="false">CHOOSE(WEEKDAY(D135),"Dom","Seg","Ter","Qua","Qui","Sex","Sáb")</f>
        <v>Qui</v>
      </c>
      <c r="F135" s="17" t="s">
        <v>20</v>
      </c>
      <c r="G135" s="18" t="s">
        <v>42</v>
      </c>
      <c r="H135" s="19" t="s">
        <v>419</v>
      </c>
      <c r="I135" s="19" t="s">
        <v>420</v>
      </c>
      <c r="J135" s="20" t="s">
        <v>421</v>
      </c>
      <c r="K135" s="19" t="s">
        <v>83</v>
      </c>
      <c r="L135" s="16" t="n">
        <f aca="false">WORKDAY(D135,-Premissas!$B$4,Premissas!$E$5:$E$11)</f>
        <v>46371</v>
      </c>
      <c r="M135" s="21" t="s">
        <v>47</v>
      </c>
      <c r="N135" s="21"/>
      <c r="O135" s="24" t="s">
        <v>84</v>
      </c>
    </row>
    <row r="136" customFormat="false" ht="48" hidden="false" customHeight="true" outlineLevel="0" collapsed="false">
      <c r="A136" s="15" t="n">
        <v>132</v>
      </c>
      <c r="B136" s="15" t="s">
        <v>303</v>
      </c>
      <c r="C136" s="15" t="s">
        <v>392</v>
      </c>
      <c r="D136" s="16" t="n">
        <v>46373</v>
      </c>
      <c r="E136" s="15" t="str">
        <f aca="false">CHOOSE(WEEKDAY(D136),"Dom","Seg","Ter","Qua","Qui","Sex","Sáb")</f>
        <v>Qui</v>
      </c>
      <c r="F136" s="17" t="s">
        <v>20</v>
      </c>
      <c r="G136" s="23" t="s">
        <v>52</v>
      </c>
      <c r="H136" s="19" t="s">
        <v>143</v>
      </c>
      <c r="I136" s="19" t="s">
        <v>422</v>
      </c>
      <c r="J136" s="20" t="s">
        <v>423</v>
      </c>
      <c r="K136" s="19" t="s">
        <v>83</v>
      </c>
      <c r="L136" s="16" t="n">
        <f aca="false">WORKDAY(D136,-Premissas!$B$4,Premissas!$E$5:$E$11)</f>
        <v>46371</v>
      </c>
      <c r="M136" s="21" t="s">
        <v>47</v>
      </c>
      <c r="N136" s="21"/>
      <c r="O136" s="19"/>
    </row>
    <row r="137" customFormat="false" ht="48" hidden="false" customHeight="true" outlineLevel="0" collapsed="false">
      <c r="A137" s="15" t="n">
        <v>133</v>
      </c>
      <c r="B137" s="15" t="s">
        <v>303</v>
      </c>
      <c r="C137" s="15" t="s">
        <v>392</v>
      </c>
      <c r="D137" s="16" t="n">
        <v>46374</v>
      </c>
      <c r="E137" s="15" t="str">
        <f aca="false">CHOOSE(WEEKDAY(D137),"Dom","Seg","Ter","Qua","Qui","Sex","Sáb")</f>
        <v>Sex</v>
      </c>
      <c r="F137" s="17" t="s">
        <v>21</v>
      </c>
      <c r="G137" s="23" t="s">
        <v>52</v>
      </c>
      <c r="H137" s="19" t="s">
        <v>424</v>
      </c>
      <c r="I137" s="19" t="s">
        <v>425</v>
      </c>
      <c r="J137" s="20" t="s">
        <v>426</v>
      </c>
      <c r="K137" s="19" t="s">
        <v>46</v>
      </c>
      <c r="L137" s="16" t="n">
        <f aca="false">WORKDAY(D137,-Premissas!$B$4,Premissas!$E$5:$E$11)</f>
        <v>46372</v>
      </c>
      <c r="M137" s="21" t="s">
        <v>47</v>
      </c>
      <c r="N137" s="21"/>
      <c r="O137" s="19"/>
    </row>
    <row r="138" customFormat="false" ht="48" hidden="false" customHeight="true" outlineLevel="0" collapsed="false">
      <c r="A138" s="15" t="n">
        <v>134</v>
      </c>
      <c r="B138" s="15" t="s">
        <v>303</v>
      </c>
      <c r="C138" s="15" t="s">
        <v>392</v>
      </c>
      <c r="D138" s="16" t="n">
        <v>46374</v>
      </c>
      <c r="E138" s="15" t="str">
        <f aca="false">CHOOSE(WEEKDAY(D138),"Dom","Seg","Ter","Qua","Qui","Sex","Sáb")</f>
        <v>Sex</v>
      </c>
      <c r="F138" s="17" t="s">
        <v>21</v>
      </c>
      <c r="G138" s="22" t="s">
        <v>48</v>
      </c>
      <c r="H138" s="19" t="s">
        <v>427</v>
      </c>
      <c r="I138" s="19" t="s">
        <v>428</v>
      </c>
      <c r="J138" s="20" t="s">
        <v>429</v>
      </c>
      <c r="K138" s="19" t="s">
        <v>46</v>
      </c>
      <c r="L138" s="16" t="n">
        <f aca="false">WORKDAY(D138,-Premissas!$B$4,Premissas!$E$5:$E$11)</f>
        <v>46372</v>
      </c>
      <c r="M138" s="21" t="s">
        <v>47</v>
      </c>
      <c r="N138" s="21"/>
      <c r="O138" s="19"/>
    </row>
    <row r="139" customFormat="false" ht="48" hidden="false" customHeight="true" outlineLevel="0" collapsed="false">
      <c r="A139" s="15" t="n">
        <v>135</v>
      </c>
      <c r="B139" s="15" t="s">
        <v>303</v>
      </c>
      <c r="C139" s="15" t="s">
        <v>392</v>
      </c>
      <c r="D139" s="16" t="n">
        <v>46374</v>
      </c>
      <c r="E139" s="15" t="str">
        <f aca="false">CHOOSE(WEEKDAY(D139),"Dom","Seg","Ter","Qua","Qui","Sex","Sáb")</f>
        <v>Sex</v>
      </c>
      <c r="F139" s="17" t="s">
        <v>22</v>
      </c>
      <c r="G139" s="18" t="s">
        <v>42</v>
      </c>
      <c r="H139" s="19" t="s">
        <v>430</v>
      </c>
      <c r="I139" s="19" t="s">
        <v>431</v>
      </c>
      <c r="J139" s="20" t="s">
        <v>432</v>
      </c>
      <c r="K139" s="19" t="s">
        <v>95</v>
      </c>
      <c r="L139" s="16" t="n">
        <f aca="false">WORKDAY(D139,-Premissas!$B$4,Premissas!$E$5:$E$11)</f>
        <v>46372</v>
      </c>
      <c r="M139" s="21" t="s">
        <v>47</v>
      </c>
      <c r="N139" s="21"/>
      <c r="O139" s="19"/>
    </row>
    <row r="140" customFormat="false" ht="48" hidden="false" customHeight="true" outlineLevel="0" collapsed="false">
      <c r="A140" s="15" t="n">
        <v>136</v>
      </c>
      <c r="B140" s="15" t="s">
        <v>303</v>
      </c>
      <c r="C140" s="15" t="s">
        <v>392</v>
      </c>
      <c r="D140" s="16" t="n">
        <v>46374</v>
      </c>
      <c r="E140" s="15" t="str">
        <f aca="false">CHOOSE(WEEKDAY(D140),"Dom","Seg","Ter","Qua","Qui","Sex","Sáb")</f>
        <v>Sex</v>
      </c>
      <c r="F140" s="17" t="s">
        <v>22</v>
      </c>
      <c r="G140" s="22" t="s">
        <v>48</v>
      </c>
      <c r="H140" s="19" t="s">
        <v>396</v>
      </c>
      <c r="I140" s="19" t="s">
        <v>433</v>
      </c>
      <c r="J140" s="20" t="s">
        <v>434</v>
      </c>
      <c r="K140" s="19" t="s">
        <v>95</v>
      </c>
      <c r="L140" s="16" t="n">
        <f aca="false">WORKDAY(D140,-Premissas!$B$4,Premissas!$E$5:$E$11)</f>
        <v>46372</v>
      </c>
      <c r="M140" s="21" t="s">
        <v>47</v>
      </c>
      <c r="N140" s="21"/>
      <c r="O140" s="19"/>
    </row>
  </sheetData>
  <autoFilter ref="A4:O140"/>
  <conditionalFormatting sqref="M5:M140">
    <cfRule type="cellIs" priority="2" operator="equal" aboveAverage="0" equalAverage="0" bottom="0" percent="0" rank="0" text="" dxfId="9">
      <formula>"No ar"</formula>
    </cfRule>
    <cfRule type="cellIs" priority="3" operator="equal" aboveAverage="0" equalAverage="0" bottom="0" percent="0" rank="0" text="" dxfId="10">
      <formula>"Aprovado"</formula>
    </cfRule>
    <cfRule type="cellIs" priority="4" operator="equal" aboveAverage="0" equalAverage="0" bottom="0" percent="0" rank="0" text="" dxfId="11">
      <formula>"Pausado"</formula>
    </cfRule>
  </conditionalFormatting>
  <dataValidations count="1">
    <dataValidation allowBlank="true" errorStyle="stop" operator="between" showDropDown="false" showErrorMessage="false" showInputMessage="false" sqref="M5:M140" type="list">
      <formula1>"A produzir,Em produção,Em aprovação,Aprovado,No ar,Pausado"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13" min="3" style="0" width="13"/>
  </cols>
  <sheetData>
    <row r="1" customFormat="false" ht="17.35" hidden="false" customHeight="false" outlineLevel="0" collapsed="false">
      <c r="A1" s="1" t="s">
        <v>435</v>
      </c>
    </row>
    <row r="2" customFormat="false" ht="15" hidden="false" customHeight="false" outlineLevel="0" collapsed="false">
      <c r="A2" s="2" t="s">
        <v>436</v>
      </c>
    </row>
    <row r="4" customFormat="false" ht="31.5" hidden="false" customHeight="true" outlineLevel="0" collapsed="false">
      <c r="A4" s="25" t="s">
        <v>2</v>
      </c>
      <c r="B4" s="25" t="s">
        <v>437</v>
      </c>
      <c r="C4" s="25" t="s">
        <v>41</v>
      </c>
      <c r="D4" s="25" t="s">
        <v>99</v>
      </c>
      <c r="E4" s="25" t="s">
        <v>146</v>
      </c>
      <c r="F4" s="26" t="s">
        <v>194</v>
      </c>
      <c r="G4" s="26" t="s">
        <v>220</v>
      </c>
      <c r="H4" s="26" t="s">
        <v>261</v>
      </c>
      <c r="I4" s="26" t="s">
        <v>282</v>
      </c>
      <c r="J4" s="25" t="s">
        <v>304</v>
      </c>
      <c r="K4" s="25" t="s">
        <v>347</v>
      </c>
      <c r="L4" s="25" t="s">
        <v>392</v>
      </c>
      <c r="M4" s="25" t="s">
        <v>14</v>
      </c>
    </row>
    <row r="5" customFormat="false" ht="15" hidden="false" customHeight="false" outlineLevel="0" collapsed="false">
      <c r="A5" s="27" t="s">
        <v>15</v>
      </c>
      <c r="B5" s="28" t="s">
        <v>438</v>
      </c>
      <c r="C5" s="28" t="n">
        <f aca="false">COUNTIFS(Calendário!$F:$F,$A5,Calendário!$C:$C,C$4)</f>
        <v>2</v>
      </c>
      <c r="D5" s="28" t="n">
        <f aca="false">COUNTIFS(Calendário!$F:$F,$A5,Calendário!$C:$C,D$4)</f>
        <v>2</v>
      </c>
      <c r="E5" s="28" t="n">
        <f aca="false">COUNTIFS(Calendário!$F:$F,$A5,Calendário!$C:$C,E$4)</f>
        <v>2</v>
      </c>
      <c r="F5" s="28" t="n">
        <f aca="false">COUNTIFS(Calendário!$F:$F,$A5,Calendário!$C:$C,F$4)</f>
        <v>1</v>
      </c>
      <c r="G5" s="28" t="n">
        <f aca="false">COUNTIFS(Calendário!$F:$F,$A5,Calendário!$C:$C,G$4)</f>
        <v>2</v>
      </c>
      <c r="H5" s="28" t="n">
        <f aca="false">COUNTIFS(Calendário!$F:$F,$A5,Calendário!$C:$C,H$4)</f>
        <v>1</v>
      </c>
      <c r="I5" s="28" t="n">
        <f aca="false">COUNTIFS(Calendário!$F:$F,$A5,Calendário!$C:$C,I$4)</f>
        <v>1</v>
      </c>
      <c r="J5" s="28" t="n">
        <f aca="false">COUNTIFS(Calendário!$F:$F,$A5,Calendário!$C:$C,J$4)</f>
        <v>2</v>
      </c>
      <c r="K5" s="28" t="n">
        <f aca="false">COUNTIFS(Calendário!$F:$F,$A5,Calendário!$C:$C,K$4)</f>
        <v>2</v>
      </c>
      <c r="L5" s="28" t="n">
        <f aca="false">COUNTIFS(Calendário!$F:$F,$A5,Calendário!$C:$C,L$4)</f>
        <v>2</v>
      </c>
      <c r="M5" s="29" t="n">
        <f aca="false">SUM(C5:L5)</f>
        <v>17</v>
      </c>
    </row>
    <row r="6" customFormat="false" ht="15" hidden="false" customHeight="false" outlineLevel="0" collapsed="false">
      <c r="A6" s="30" t="s">
        <v>16</v>
      </c>
      <c r="B6" s="31" t="s">
        <v>438</v>
      </c>
      <c r="C6" s="31" t="n">
        <f aca="false">COUNTIFS(Calendário!$F:$F,$A6,Calendário!$C:$C,C$4)</f>
        <v>2</v>
      </c>
      <c r="D6" s="31" t="n">
        <f aca="false">COUNTIFS(Calendário!$F:$F,$A6,Calendário!$C:$C,D$4)</f>
        <v>2</v>
      </c>
      <c r="E6" s="31" t="n">
        <f aca="false">COUNTIFS(Calendário!$F:$F,$A6,Calendário!$C:$C,E$4)</f>
        <v>2</v>
      </c>
      <c r="F6" s="31" t="n">
        <f aca="false">COUNTIFS(Calendário!$F:$F,$A6,Calendário!$C:$C,F$4)</f>
        <v>1</v>
      </c>
      <c r="G6" s="31" t="n">
        <f aca="false">COUNTIFS(Calendário!$F:$F,$A6,Calendário!$C:$C,G$4)</f>
        <v>2</v>
      </c>
      <c r="H6" s="31" t="n">
        <f aca="false">COUNTIFS(Calendário!$F:$F,$A6,Calendário!$C:$C,H$4)</f>
        <v>1</v>
      </c>
      <c r="I6" s="31" t="n">
        <f aca="false">COUNTIFS(Calendário!$F:$F,$A6,Calendário!$C:$C,I$4)</f>
        <v>1</v>
      </c>
      <c r="J6" s="31" t="n">
        <f aca="false">COUNTIFS(Calendário!$F:$F,$A6,Calendário!$C:$C,J$4)</f>
        <v>2</v>
      </c>
      <c r="K6" s="31" t="n">
        <f aca="false">COUNTIFS(Calendário!$F:$F,$A6,Calendário!$C:$C,K$4)</f>
        <v>2</v>
      </c>
      <c r="L6" s="31" t="n">
        <f aca="false">COUNTIFS(Calendário!$F:$F,$A6,Calendário!$C:$C,L$4)</f>
        <v>2</v>
      </c>
      <c r="M6" s="32" t="n">
        <f aca="false">SUM(C6:L6)</f>
        <v>17</v>
      </c>
    </row>
    <row r="7" customFormat="false" ht="15" hidden="false" customHeight="false" outlineLevel="0" collapsed="false">
      <c r="A7" s="27" t="s">
        <v>17</v>
      </c>
      <c r="B7" s="28" t="s">
        <v>439</v>
      </c>
      <c r="C7" s="28" t="n">
        <f aca="false">COUNTIFS(Calendário!$F:$F,$A7,Calendário!$C:$C,C$4)</f>
        <v>2</v>
      </c>
      <c r="D7" s="28" t="n">
        <f aca="false">COUNTIFS(Calendário!$F:$F,$A7,Calendário!$C:$C,D$4)</f>
        <v>2</v>
      </c>
      <c r="E7" s="28" t="n">
        <f aca="false">COUNTIFS(Calendário!$F:$F,$A7,Calendário!$C:$C,E$4)</f>
        <v>2</v>
      </c>
      <c r="F7" s="28" t="n">
        <f aca="false">COUNTIFS(Calendário!$F:$F,$A7,Calendário!$C:$C,F$4)</f>
        <v>1</v>
      </c>
      <c r="G7" s="28" t="n">
        <f aca="false">COUNTIFS(Calendário!$F:$F,$A7,Calendário!$C:$C,G$4)</f>
        <v>2</v>
      </c>
      <c r="H7" s="28" t="n">
        <f aca="false">COUNTIFS(Calendário!$F:$F,$A7,Calendário!$C:$C,H$4)</f>
        <v>1</v>
      </c>
      <c r="I7" s="28" t="n">
        <f aca="false">COUNTIFS(Calendário!$F:$F,$A7,Calendário!$C:$C,I$4)</f>
        <v>1</v>
      </c>
      <c r="J7" s="28" t="n">
        <f aca="false">COUNTIFS(Calendário!$F:$F,$A7,Calendário!$C:$C,J$4)</f>
        <v>2</v>
      </c>
      <c r="K7" s="28" t="n">
        <f aca="false">COUNTIFS(Calendário!$F:$F,$A7,Calendário!$C:$C,K$4)</f>
        <v>2</v>
      </c>
      <c r="L7" s="28" t="n">
        <f aca="false">COUNTIFS(Calendário!$F:$F,$A7,Calendário!$C:$C,L$4)</f>
        <v>2</v>
      </c>
      <c r="M7" s="29" t="n">
        <f aca="false">SUM(C7:L7)</f>
        <v>17</v>
      </c>
    </row>
    <row r="8" customFormat="false" ht="15" hidden="false" customHeight="false" outlineLevel="0" collapsed="false">
      <c r="A8" s="30" t="s">
        <v>18</v>
      </c>
      <c r="B8" s="31" t="s">
        <v>439</v>
      </c>
      <c r="C8" s="31" t="n">
        <f aca="false">COUNTIFS(Calendário!$F:$F,$A8,Calendário!$C:$C,C$4)</f>
        <v>2</v>
      </c>
      <c r="D8" s="31" t="n">
        <f aca="false">COUNTIFS(Calendário!$F:$F,$A8,Calendário!$C:$C,D$4)</f>
        <v>2</v>
      </c>
      <c r="E8" s="31" t="n">
        <f aca="false">COUNTIFS(Calendário!$F:$F,$A8,Calendário!$C:$C,E$4)</f>
        <v>2</v>
      </c>
      <c r="F8" s="31" t="n">
        <f aca="false">COUNTIFS(Calendário!$F:$F,$A8,Calendário!$C:$C,F$4)</f>
        <v>1</v>
      </c>
      <c r="G8" s="31" t="n">
        <f aca="false">COUNTIFS(Calendário!$F:$F,$A8,Calendário!$C:$C,G$4)</f>
        <v>2</v>
      </c>
      <c r="H8" s="31" t="n">
        <f aca="false">COUNTIFS(Calendário!$F:$F,$A8,Calendário!$C:$C,H$4)</f>
        <v>1</v>
      </c>
      <c r="I8" s="31" t="n">
        <f aca="false">COUNTIFS(Calendário!$F:$F,$A8,Calendário!$C:$C,I$4)</f>
        <v>1</v>
      </c>
      <c r="J8" s="31" t="n">
        <f aca="false">COUNTIFS(Calendário!$F:$F,$A8,Calendário!$C:$C,J$4)</f>
        <v>2</v>
      </c>
      <c r="K8" s="31" t="n">
        <f aca="false">COUNTIFS(Calendário!$F:$F,$A8,Calendário!$C:$C,K$4)</f>
        <v>2</v>
      </c>
      <c r="L8" s="31" t="n">
        <f aca="false">COUNTIFS(Calendário!$F:$F,$A8,Calendário!$C:$C,L$4)</f>
        <v>2</v>
      </c>
      <c r="M8" s="32" t="n">
        <f aca="false">SUM(C8:L8)</f>
        <v>17</v>
      </c>
    </row>
    <row r="9" customFormat="false" ht="15" hidden="false" customHeight="false" outlineLevel="0" collapsed="false">
      <c r="A9" s="27" t="s">
        <v>19</v>
      </c>
      <c r="B9" s="28" t="s">
        <v>440</v>
      </c>
      <c r="C9" s="28" t="n">
        <f aca="false">COUNTIFS(Calendário!$F:$F,$A9,Calendário!$C:$C,C$4)</f>
        <v>2</v>
      </c>
      <c r="D9" s="28" t="n">
        <f aca="false">COUNTIFS(Calendário!$F:$F,$A9,Calendário!$C:$C,D$4)</f>
        <v>2</v>
      </c>
      <c r="E9" s="28" t="n">
        <f aca="false">COUNTIFS(Calendário!$F:$F,$A9,Calendário!$C:$C,E$4)</f>
        <v>2</v>
      </c>
      <c r="F9" s="28" t="n">
        <f aca="false">COUNTIFS(Calendário!$F:$F,$A9,Calendário!$C:$C,F$4)</f>
        <v>1</v>
      </c>
      <c r="G9" s="28" t="n">
        <f aca="false">COUNTIFS(Calendário!$F:$F,$A9,Calendário!$C:$C,G$4)</f>
        <v>2</v>
      </c>
      <c r="H9" s="28" t="n">
        <f aca="false">COUNTIFS(Calendário!$F:$F,$A9,Calendário!$C:$C,H$4)</f>
        <v>1</v>
      </c>
      <c r="I9" s="28" t="n">
        <f aca="false">COUNTIFS(Calendário!$F:$F,$A9,Calendário!$C:$C,I$4)</f>
        <v>1</v>
      </c>
      <c r="J9" s="28" t="n">
        <f aca="false">COUNTIFS(Calendário!$F:$F,$A9,Calendário!$C:$C,J$4)</f>
        <v>2</v>
      </c>
      <c r="K9" s="28" t="n">
        <f aca="false">COUNTIFS(Calendário!$F:$F,$A9,Calendário!$C:$C,K$4)</f>
        <v>2</v>
      </c>
      <c r="L9" s="28" t="n">
        <f aca="false">COUNTIFS(Calendário!$F:$F,$A9,Calendário!$C:$C,L$4)</f>
        <v>2</v>
      </c>
      <c r="M9" s="29" t="n">
        <f aca="false">SUM(C9:L9)</f>
        <v>17</v>
      </c>
    </row>
    <row r="10" customFormat="false" ht="15" hidden="false" customHeight="false" outlineLevel="0" collapsed="false">
      <c r="A10" s="30" t="s">
        <v>20</v>
      </c>
      <c r="B10" s="31" t="s">
        <v>440</v>
      </c>
      <c r="C10" s="31" t="n">
        <f aca="false">COUNTIFS(Calendário!$F:$F,$A10,Calendário!$C:$C,C$4)</f>
        <v>2</v>
      </c>
      <c r="D10" s="31" t="n">
        <f aca="false">COUNTIFS(Calendário!$F:$F,$A10,Calendário!$C:$C,D$4)</f>
        <v>2</v>
      </c>
      <c r="E10" s="31" t="n">
        <f aca="false">COUNTIFS(Calendário!$F:$F,$A10,Calendário!$C:$C,E$4)</f>
        <v>2</v>
      </c>
      <c r="F10" s="31" t="n">
        <f aca="false">COUNTIFS(Calendário!$F:$F,$A10,Calendário!$C:$C,F$4)</f>
        <v>1</v>
      </c>
      <c r="G10" s="31" t="n">
        <f aca="false">COUNTIFS(Calendário!$F:$F,$A10,Calendário!$C:$C,G$4)</f>
        <v>2</v>
      </c>
      <c r="H10" s="31" t="n">
        <f aca="false">COUNTIFS(Calendário!$F:$F,$A10,Calendário!$C:$C,H$4)</f>
        <v>1</v>
      </c>
      <c r="I10" s="31" t="n">
        <f aca="false">COUNTIFS(Calendário!$F:$F,$A10,Calendário!$C:$C,I$4)</f>
        <v>1</v>
      </c>
      <c r="J10" s="31" t="n">
        <f aca="false">COUNTIFS(Calendário!$F:$F,$A10,Calendário!$C:$C,J$4)</f>
        <v>2</v>
      </c>
      <c r="K10" s="31" t="n">
        <f aca="false">COUNTIFS(Calendário!$F:$F,$A10,Calendário!$C:$C,K$4)</f>
        <v>2</v>
      </c>
      <c r="L10" s="31" t="n">
        <f aca="false">COUNTIFS(Calendário!$F:$F,$A10,Calendário!$C:$C,L$4)</f>
        <v>2</v>
      </c>
      <c r="M10" s="32" t="n">
        <f aca="false">SUM(C10:L10)</f>
        <v>17</v>
      </c>
    </row>
    <row r="11" customFormat="false" ht="15" hidden="false" customHeight="false" outlineLevel="0" collapsed="false">
      <c r="A11" s="27" t="s">
        <v>21</v>
      </c>
      <c r="B11" s="28" t="s">
        <v>441</v>
      </c>
      <c r="C11" s="28" t="n">
        <f aca="false">COUNTIFS(Calendário!$F:$F,$A11,Calendário!$C:$C,C$4)</f>
        <v>2</v>
      </c>
      <c r="D11" s="28" t="n">
        <f aca="false">COUNTIFS(Calendário!$F:$F,$A11,Calendário!$C:$C,D$4)</f>
        <v>2</v>
      </c>
      <c r="E11" s="28" t="n">
        <f aca="false">COUNTIFS(Calendário!$F:$F,$A11,Calendário!$C:$C,E$4)</f>
        <v>2</v>
      </c>
      <c r="F11" s="28" t="n">
        <f aca="false">COUNTIFS(Calendário!$F:$F,$A11,Calendário!$C:$C,F$4)</f>
        <v>1</v>
      </c>
      <c r="G11" s="28" t="n">
        <f aca="false">COUNTIFS(Calendário!$F:$F,$A11,Calendário!$C:$C,G$4)</f>
        <v>2</v>
      </c>
      <c r="H11" s="28" t="n">
        <f aca="false">COUNTIFS(Calendário!$F:$F,$A11,Calendário!$C:$C,H$4)</f>
        <v>1</v>
      </c>
      <c r="I11" s="28" t="n">
        <f aca="false">COUNTIFS(Calendário!$F:$F,$A11,Calendário!$C:$C,I$4)</f>
        <v>1</v>
      </c>
      <c r="J11" s="28" t="n">
        <f aca="false">COUNTIFS(Calendário!$F:$F,$A11,Calendário!$C:$C,J$4)</f>
        <v>2</v>
      </c>
      <c r="K11" s="28" t="n">
        <f aca="false">COUNTIFS(Calendário!$F:$F,$A11,Calendário!$C:$C,K$4)</f>
        <v>2</v>
      </c>
      <c r="L11" s="28" t="n">
        <f aca="false">COUNTIFS(Calendário!$F:$F,$A11,Calendário!$C:$C,L$4)</f>
        <v>2</v>
      </c>
      <c r="M11" s="29" t="n">
        <f aca="false">SUM(C11:L11)</f>
        <v>17</v>
      </c>
    </row>
    <row r="12" customFormat="false" ht="15" hidden="false" customHeight="false" outlineLevel="0" collapsed="false">
      <c r="A12" s="30" t="s">
        <v>22</v>
      </c>
      <c r="B12" s="31" t="s">
        <v>441</v>
      </c>
      <c r="C12" s="31" t="n">
        <f aca="false">COUNTIFS(Calendário!$F:$F,$A12,Calendário!$C:$C,C$4)</f>
        <v>2</v>
      </c>
      <c r="D12" s="31" t="n">
        <f aca="false">COUNTIFS(Calendário!$F:$F,$A12,Calendário!$C:$C,D$4)</f>
        <v>2</v>
      </c>
      <c r="E12" s="31" t="n">
        <f aca="false">COUNTIFS(Calendário!$F:$F,$A12,Calendário!$C:$C,E$4)</f>
        <v>2</v>
      </c>
      <c r="F12" s="31" t="n">
        <f aca="false">COUNTIFS(Calendário!$F:$F,$A12,Calendário!$C:$C,F$4)</f>
        <v>1</v>
      </c>
      <c r="G12" s="31" t="n">
        <f aca="false">COUNTIFS(Calendário!$F:$F,$A12,Calendário!$C:$C,G$4)</f>
        <v>2</v>
      </c>
      <c r="H12" s="31" t="n">
        <f aca="false">COUNTIFS(Calendário!$F:$F,$A12,Calendário!$C:$C,H$4)</f>
        <v>1</v>
      </c>
      <c r="I12" s="31" t="n">
        <f aca="false">COUNTIFS(Calendário!$F:$F,$A12,Calendário!$C:$C,I$4)</f>
        <v>1</v>
      </c>
      <c r="J12" s="31" t="n">
        <f aca="false">COUNTIFS(Calendário!$F:$F,$A12,Calendário!$C:$C,J$4)</f>
        <v>2</v>
      </c>
      <c r="K12" s="31" t="n">
        <f aca="false">COUNTIFS(Calendário!$F:$F,$A12,Calendário!$C:$C,K$4)</f>
        <v>2</v>
      </c>
      <c r="L12" s="31" t="n">
        <f aca="false">COUNTIFS(Calendário!$F:$F,$A12,Calendário!$C:$C,L$4)</f>
        <v>2</v>
      </c>
      <c r="M12" s="32" t="n">
        <f aca="false">SUM(C12:L12)</f>
        <v>17</v>
      </c>
    </row>
    <row r="13" customFormat="false" ht="26.85" hidden="false" customHeight="false" outlineLevel="0" collapsed="false">
      <c r="A13" s="12" t="s">
        <v>442</v>
      </c>
      <c r="B13" s="13"/>
      <c r="C13" s="13" t="n">
        <f aca="false">SUM(C5:C12)</f>
        <v>16</v>
      </c>
      <c r="D13" s="13" t="n">
        <f aca="false">SUM(D5:D12)</f>
        <v>16</v>
      </c>
      <c r="E13" s="13" t="n">
        <f aca="false">SUM(E5:E12)</f>
        <v>16</v>
      </c>
      <c r="F13" s="13" t="n">
        <f aca="false">SUM(F5:F12)</f>
        <v>8</v>
      </c>
      <c r="G13" s="13" t="n">
        <f aca="false">SUM(G5:G12)</f>
        <v>16</v>
      </c>
      <c r="H13" s="13" t="n">
        <f aca="false">SUM(H5:H12)</f>
        <v>8</v>
      </c>
      <c r="I13" s="13" t="n">
        <f aca="false">SUM(I5:I12)</f>
        <v>8</v>
      </c>
      <c r="J13" s="13" t="n">
        <f aca="false">SUM(J5:J12)</f>
        <v>16</v>
      </c>
      <c r="K13" s="13" t="n">
        <f aca="false">SUM(K5:K12)</f>
        <v>16</v>
      </c>
      <c r="L13" s="13" t="n">
        <f aca="false">SUM(L5:L12)</f>
        <v>16</v>
      </c>
      <c r="M13" s="13" t="n">
        <f aca="false">SUM(C13:L13)</f>
        <v>136</v>
      </c>
    </row>
    <row r="14" customFormat="false" ht="15" hidden="false" customHeight="false" outlineLevel="0" collapsed="false">
      <c r="A14" s="33" t="s">
        <v>443</v>
      </c>
      <c r="B14" s="4"/>
      <c r="C14" s="4" t="n">
        <f aca="false">COUNTIFS(Calendário!$C:$C,C$4,Calendário!$G:$G,"Vídeo")</f>
        <v>5</v>
      </c>
      <c r="D14" s="4" t="n">
        <f aca="false">COUNTIFS(Calendário!$C:$C,D$4,Calendário!$G:$G,"Vídeo")</f>
        <v>6</v>
      </c>
      <c r="E14" s="4" t="n">
        <f aca="false">COUNTIFS(Calendário!$C:$C,E$4,Calendário!$G:$G,"Vídeo")</f>
        <v>5</v>
      </c>
      <c r="F14" s="4" t="n">
        <f aca="false">COUNTIFS(Calendário!$C:$C,F$4,Calendário!$G:$G,"Vídeo")</f>
        <v>4</v>
      </c>
      <c r="G14" s="4" t="n">
        <f aca="false">COUNTIFS(Calendário!$C:$C,G$4,Calendário!$G:$G,"Vídeo")</f>
        <v>4</v>
      </c>
      <c r="H14" s="4" t="n">
        <f aca="false">COUNTIFS(Calendário!$C:$C,H$4,Calendário!$G:$G,"Vídeo")</f>
        <v>4</v>
      </c>
      <c r="I14" s="4" t="n">
        <f aca="false">COUNTIFS(Calendário!$C:$C,I$4,Calendário!$G:$G,"Vídeo")</f>
        <v>4</v>
      </c>
      <c r="J14" s="4" t="n">
        <f aca="false">COUNTIFS(Calendário!$C:$C,J$4,Calendário!$G:$G,"Vídeo")</f>
        <v>5</v>
      </c>
      <c r="K14" s="4" t="n">
        <f aca="false">COUNTIFS(Calendário!$C:$C,K$4,Calendário!$G:$G,"Vídeo")</f>
        <v>6</v>
      </c>
      <c r="L14" s="4" t="n">
        <f aca="false">COUNTIFS(Calendário!$C:$C,L$4,Calendário!$G:$G,"Vídeo")</f>
        <v>5</v>
      </c>
      <c r="M14" s="4" t="n">
        <f aca="false">SUM(C14:L14)</f>
        <v>48</v>
      </c>
    </row>
    <row r="15" customFormat="false" ht="15" hidden="false" customHeight="false" outlineLevel="0" collapsed="false">
      <c r="A15" s="33" t="s">
        <v>444</v>
      </c>
      <c r="B15" s="4"/>
      <c r="C15" s="4" t="n">
        <f aca="false">COUNTIFS(Calendário!$C:$C,C$4,Calendário!$G:$G,"Carrossel")</f>
        <v>3</v>
      </c>
      <c r="D15" s="4" t="n">
        <f aca="false">COUNTIFS(Calendário!$C:$C,D$4,Calendário!$G:$G,"Carrossel")</f>
        <v>8</v>
      </c>
      <c r="E15" s="4" t="n">
        <f aca="false">COUNTIFS(Calendário!$C:$C,E$4,Calendário!$G:$G,"Carrossel")</f>
        <v>5</v>
      </c>
      <c r="F15" s="4" t="n">
        <f aca="false">COUNTIFS(Calendário!$C:$C,F$4,Calendário!$G:$G,"Carrossel")</f>
        <v>4</v>
      </c>
      <c r="G15" s="4" t="n">
        <f aca="false">COUNTIFS(Calendário!$C:$C,G$4,Calendário!$G:$G,"Carrossel")</f>
        <v>4</v>
      </c>
      <c r="H15" s="4" t="n">
        <f aca="false">COUNTIFS(Calendário!$C:$C,H$4,Calendário!$G:$G,"Carrossel")</f>
        <v>4</v>
      </c>
      <c r="I15" s="4" t="n">
        <f aca="false">COUNTIFS(Calendário!$C:$C,I$4,Calendário!$G:$G,"Carrossel")</f>
        <v>4</v>
      </c>
      <c r="J15" s="4" t="n">
        <f aca="false">COUNTIFS(Calendário!$C:$C,J$4,Calendário!$G:$G,"Carrossel")</f>
        <v>3</v>
      </c>
      <c r="K15" s="4" t="n">
        <f aca="false">COUNTIFS(Calendário!$C:$C,K$4,Calendário!$G:$G,"Carrossel")</f>
        <v>8</v>
      </c>
      <c r="L15" s="4" t="n">
        <f aca="false">COUNTIFS(Calendário!$C:$C,L$4,Calendário!$G:$G,"Carrossel")</f>
        <v>5</v>
      </c>
      <c r="M15" s="4" t="n">
        <f aca="false">SUM(C15:L15)</f>
        <v>48</v>
      </c>
    </row>
    <row r="16" customFormat="false" ht="15" hidden="false" customHeight="false" outlineLevel="0" collapsed="false">
      <c r="A16" s="33" t="s">
        <v>445</v>
      </c>
      <c r="B16" s="4"/>
      <c r="C16" s="4" t="n">
        <f aca="false">COUNTIFS(Calendário!$C:$C,C$4,Calendário!$G:$G,"Estático")</f>
        <v>8</v>
      </c>
      <c r="D16" s="4" t="n">
        <f aca="false">COUNTIFS(Calendário!$C:$C,D$4,Calendário!$G:$G,"Estático")</f>
        <v>2</v>
      </c>
      <c r="E16" s="4" t="n">
        <f aca="false">COUNTIFS(Calendário!$C:$C,E$4,Calendário!$G:$G,"Estático")</f>
        <v>6</v>
      </c>
      <c r="F16" s="4" t="n">
        <f aca="false">COUNTIFS(Calendário!$C:$C,F$4,Calendário!$G:$G,"Estático")</f>
        <v>0</v>
      </c>
      <c r="G16" s="4" t="n">
        <f aca="false">COUNTIFS(Calendário!$C:$C,G$4,Calendário!$G:$G,"Estático")</f>
        <v>8</v>
      </c>
      <c r="H16" s="4" t="n">
        <f aca="false">COUNTIFS(Calendário!$C:$C,H$4,Calendário!$G:$G,"Estático")</f>
        <v>0</v>
      </c>
      <c r="I16" s="4" t="n">
        <f aca="false">COUNTIFS(Calendário!$C:$C,I$4,Calendário!$G:$G,"Estático")</f>
        <v>0</v>
      </c>
      <c r="J16" s="4" t="n">
        <f aca="false">COUNTIFS(Calendário!$C:$C,J$4,Calendário!$G:$G,"Estático")</f>
        <v>8</v>
      </c>
      <c r="K16" s="4" t="n">
        <f aca="false">COUNTIFS(Calendário!$C:$C,K$4,Calendário!$G:$G,"Estático")</f>
        <v>2</v>
      </c>
      <c r="L16" s="4" t="n">
        <f aca="false">COUNTIFS(Calendário!$C:$C,L$4,Calendário!$G:$G,"Estático")</f>
        <v>6</v>
      </c>
      <c r="M16" s="4" t="n">
        <f aca="false">SUM(C16:L16)</f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4" min="3" style="0" width="40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24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446</v>
      </c>
    </row>
    <row r="3" customFormat="false" ht="15" hidden="false" customHeight="false" outlineLevel="0" collapsed="false">
      <c r="A3" s="13" t="s">
        <v>2</v>
      </c>
      <c r="B3" s="13" t="s">
        <v>447</v>
      </c>
      <c r="C3" s="13" t="s">
        <v>448</v>
      </c>
      <c r="D3" s="13" t="s">
        <v>449</v>
      </c>
      <c r="E3" s="13" t="s">
        <v>450</v>
      </c>
      <c r="F3" s="13" t="s">
        <v>451</v>
      </c>
      <c r="G3" s="13" t="s">
        <v>452</v>
      </c>
      <c r="H3" s="13" t="s">
        <v>453</v>
      </c>
    </row>
    <row r="4" customFormat="false" ht="69.75" hidden="false" customHeight="true" outlineLevel="0" collapsed="false">
      <c r="A4" s="17" t="s">
        <v>15</v>
      </c>
      <c r="B4" s="19" t="s">
        <v>454</v>
      </c>
      <c r="C4" s="19" t="s">
        <v>455</v>
      </c>
      <c r="D4" s="19" t="s">
        <v>456</v>
      </c>
      <c r="E4" s="19" t="s">
        <v>457</v>
      </c>
      <c r="F4" s="19" t="s">
        <v>458</v>
      </c>
      <c r="G4" s="19" t="s">
        <v>46</v>
      </c>
      <c r="H4" s="34" t="s">
        <v>459</v>
      </c>
    </row>
    <row r="5" customFormat="false" ht="69.75" hidden="false" customHeight="true" outlineLevel="0" collapsed="false">
      <c r="A5" s="35" t="s">
        <v>16</v>
      </c>
      <c r="B5" s="36" t="s">
        <v>460</v>
      </c>
      <c r="C5" s="36" t="s">
        <v>461</v>
      </c>
      <c r="D5" s="36" t="s">
        <v>462</v>
      </c>
      <c r="E5" s="36" t="s">
        <v>463</v>
      </c>
      <c r="F5" s="36" t="s">
        <v>464</v>
      </c>
      <c r="G5" s="36" t="s">
        <v>56</v>
      </c>
      <c r="H5" s="37" t="s">
        <v>465</v>
      </c>
    </row>
    <row r="6" customFormat="false" ht="69.75" hidden="false" customHeight="true" outlineLevel="0" collapsed="false">
      <c r="A6" s="17" t="s">
        <v>17</v>
      </c>
      <c r="B6" s="19" t="s">
        <v>466</v>
      </c>
      <c r="C6" s="19" t="s">
        <v>467</v>
      </c>
      <c r="D6" s="19" t="s">
        <v>468</v>
      </c>
      <c r="E6" s="19" t="s">
        <v>469</v>
      </c>
      <c r="F6" s="19" t="s">
        <v>470</v>
      </c>
      <c r="G6" s="19" t="s">
        <v>46</v>
      </c>
      <c r="H6" s="34" t="s">
        <v>471</v>
      </c>
    </row>
    <row r="7" customFormat="false" ht="69.75" hidden="false" customHeight="true" outlineLevel="0" collapsed="false">
      <c r="A7" s="35" t="s">
        <v>18</v>
      </c>
      <c r="B7" s="36" t="s">
        <v>472</v>
      </c>
      <c r="C7" s="36" t="s">
        <v>473</v>
      </c>
      <c r="D7" s="36" t="s">
        <v>474</v>
      </c>
      <c r="E7" s="36" t="s">
        <v>475</v>
      </c>
      <c r="F7" s="36" t="s">
        <v>476</v>
      </c>
      <c r="G7" s="36" t="s">
        <v>70</v>
      </c>
      <c r="H7" s="37" t="s">
        <v>477</v>
      </c>
    </row>
    <row r="8" customFormat="false" ht="69.75" hidden="false" customHeight="true" outlineLevel="0" collapsed="false">
      <c r="A8" s="17" t="s">
        <v>19</v>
      </c>
      <c r="B8" s="19" t="s">
        <v>478</v>
      </c>
      <c r="C8" s="19" t="s">
        <v>479</v>
      </c>
      <c r="D8" s="19" t="s">
        <v>480</v>
      </c>
      <c r="E8" s="19" t="s">
        <v>481</v>
      </c>
      <c r="F8" s="19" t="s">
        <v>482</v>
      </c>
      <c r="G8" s="19" t="s">
        <v>46</v>
      </c>
      <c r="H8" s="34" t="s">
        <v>483</v>
      </c>
    </row>
    <row r="9" customFormat="false" ht="69.75" hidden="false" customHeight="true" outlineLevel="0" collapsed="false">
      <c r="A9" s="35" t="s">
        <v>20</v>
      </c>
      <c r="B9" s="36" t="s">
        <v>484</v>
      </c>
      <c r="C9" s="36" t="s">
        <v>485</v>
      </c>
      <c r="D9" s="36" t="s">
        <v>486</v>
      </c>
      <c r="E9" s="36" t="s">
        <v>487</v>
      </c>
      <c r="F9" s="36" t="s">
        <v>488</v>
      </c>
      <c r="G9" s="36" t="s">
        <v>83</v>
      </c>
      <c r="H9" s="37" t="s">
        <v>489</v>
      </c>
    </row>
    <row r="10" customFormat="false" ht="69.75" hidden="false" customHeight="true" outlineLevel="0" collapsed="false">
      <c r="A10" s="17" t="s">
        <v>21</v>
      </c>
      <c r="B10" s="19" t="s">
        <v>490</v>
      </c>
      <c r="C10" s="19" t="s">
        <v>491</v>
      </c>
      <c r="D10" s="19" t="s">
        <v>492</v>
      </c>
      <c r="E10" s="19" t="s">
        <v>493</v>
      </c>
      <c r="F10" s="19" t="s">
        <v>494</v>
      </c>
      <c r="G10" s="19" t="s">
        <v>46</v>
      </c>
      <c r="H10" s="34" t="s">
        <v>495</v>
      </c>
    </row>
    <row r="11" customFormat="false" ht="69.75" hidden="false" customHeight="true" outlineLevel="0" collapsed="false">
      <c r="A11" s="35" t="s">
        <v>22</v>
      </c>
      <c r="B11" s="36" t="s">
        <v>496</v>
      </c>
      <c r="C11" s="36" t="s">
        <v>497</v>
      </c>
      <c r="D11" s="36" t="s">
        <v>498</v>
      </c>
      <c r="E11" s="36" t="s">
        <v>499</v>
      </c>
      <c r="F11" s="36" t="s">
        <v>500</v>
      </c>
      <c r="G11" s="36" t="s">
        <v>95</v>
      </c>
      <c r="H11" s="37" t="s">
        <v>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502</v>
      </c>
    </row>
    <row r="3" customFormat="false" ht="15" hidden="false" customHeight="false" outlineLevel="0" collapsed="false">
      <c r="A3" s="38" t="s">
        <v>503</v>
      </c>
      <c r="B3" s="38" t="s">
        <v>504</v>
      </c>
      <c r="D3" s="38" t="s">
        <v>505</v>
      </c>
      <c r="E3" s="38" t="s">
        <v>506</v>
      </c>
    </row>
    <row r="4" customFormat="false" ht="15" hidden="false" customHeight="false" outlineLevel="0" collapsed="false">
      <c r="A4" s="39" t="s">
        <v>507</v>
      </c>
      <c r="B4" s="40" t="n">
        <v>2</v>
      </c>
      <c r="D4" s="39"/>
      <c r="E4" s="39"/>
    </row>
    <row r="5" customFormat="false" ht="15" hidden="false" customHeight="false" outlineLevel="0" collapsed="false">
      <c r="A5" s="39"/>
      <c r="B5" s="41"/>
      <c r="D5" s="39" t="s">
        <v>508</v>
      </c>
      <c r="E5" s="42" t="n">
        <v>46307</v>
      </c>
    </row>
    <row r="6" customFormat="false" ht="15" hidden="false" customHeight="false" outlineLevel="0" collapsed="false">
      <c r="A6" s="39"/>
      <c r="B6" s="41"/>
      <c r="D6" s="39" t="s">
        <v>509</v>
      </c>
      <c r="E6" s="42" t="n">
        <v>46328</v>
      </c>
    </row>
    <row r="7" customFormat="false" ht="15" hidden="false" customHeight="false" outlineLevel="0" collapsed="false">
      <c r="A7" s="39"/>
      <c r="B7" s="41"/>
      <c r="D7" s="39" t="s">
        <v>510</v>
      </c>
      <c r="E7" s="42" t="n">
        <v>46341</v>
      </c>
    </row>
    <row r="8" customFormat="false" ht="15" hidden="false" customHeight="false" outlineLevel="0" collapsed="false">
      <c r="A8" s="39"/>
      <c r="B8" s="41"/>
      <c r="D8" s="39" t="s">
        <v>511</v>
      </c>
      <c r="E8" s="42" t="n">
        <v>46346</v>
      </c>
    </row>
    <row r="9" customFormat="false" ht="15" hidden="false" customHeight="false" outlineLevel="0" collapsed="false">
      <c r="A9" s="39"/>
      <c r="B9" s="41"/>
      <c r="D9" s="39" t="s">
        <v>512</v>
      </c>
      <c r="E9" s="42" t="n">
        <v>46364</v>
      </c>
    </row>
    <row r="10" customFormat="false" ht="15" hidden="false" customHeight="false" outlineLevel="0" collapsed="false">
      <c r="A10" s="39"/>
      <c r="B10" s="41"/>
      <c r="D10" s="39" t="s">
        <v>332</v>
      </c>
      <c r="E10" s="42" t="n">
        <v>46381</v>
      </c>
    </row>
    <row r="11" customFormat="false" ht="15" hidden="false" customHeight="false" outlineLevel="0" collapsed="false">
      <c r="A11" s="39"/>
      <c r="B11" s="41"/>
      <c r="D11" s="39" t="s">
        <v>513</v>
      </c>
      <c r="E11" s="42" t="n">
        <v>46388</v>
      </c>
    </row>
    <row r="14" customFormat="false" ht="15" hidden="false" customHeight="false" outlineLevel="0" collapsed="false">
      <c r="A14" s="43" t="s">
        <v>514</v>
      </c>
      <c r="B14" s="43"/>
      <c r="C14" s="43"/>
      <c r="D14" s="43"/>
      <c r="E14" s="43"/>
      <c r="F14" s="43"/>
    </row>
    <row r="15" customFormat="false" ht="15" hidden="false" customHeight="false" outlineLevel="0" collapsed="false">
      <c r="A15" s="44" t="s">
        <v>515</v>
      </c>
      <c r="B15" s="44"/>
      <c r="C15" s="44"/>
      <c r="D15" s="44"/>
      <c r="E15" s="44"/>
      <c r="F15" s="44"/>
    </row>
    <row r="16" customFormat="false" ht="15" hidden="false" customHeight="false" outlineLevel="0" collapsed="false">
      <c r="A16" s="44" t="s">
        <v>516</v>
      </c>
      <c r="B16" s="44"/>
      <c r="C16" s="44"/>
      <c r="D16" s="44"/>
      <c r="E16" s="44"/>
      <c r="F16" s="44"/>
    </row>
    <row r="17" customFormat="false" ht="15" hidden="false" customHeight="false" outlineLevel="0" collapsed="false">
      <c r="A17" s="44" t="s">
        <v>517</v>
      </c>
      <c r="B17" s="44"/>
      <c r="C17" s="44"/>
      <c r="D17" s="44"/>
      <c r="E17" s="44"/>
      <c r="F17" s="44"/>
    </row>
    <row r="18" customFormat="false" ht="15" hidden="false" customHeight="false" outlineLevel="0" collapsed="false">
      <c r="A18" s="44" t="s">
        <v>518</v>
      </c>
      <c r="B18" s="44"/>
      <c r="C18" s="44"/>
      <c r="D18" s="44"/>
      <c r="E18" s="44"/>
      <c r="F18" s="44"/>
    </row>
    <row r="19" customFormat="false" ht="15" hidden="false" customHeight="false" outlineLevel="0" collapsed="false">
      <c r="A19" s="44"/>
      <c r="B19" s="44"/>
      <c r="C19" s="44"/>
      <c r="D19" s="44"/>
      <c r="E19" s="44"/>
      <c r="F19" s="44"/>
    </row>
    <row r="20" customFormat="false" ht="15" hidden="false" customHeight="false" outlineLevel="0" collapsed="false">
      <c r="A20" s="44" t="s">
        <v>519</v>
      </c>
      <c r="B20" s="44"/>
      <c r="C20" s="44"/>
      <c r="D20" s="44"/>
      <c r="E20" s="44"/>
      <c r="F20" s="44"/>
    </row>
    <row r="21" customFormat="false" ht="15" hidden="false" customHeight="false" outlineLevel="0" collapsed="false">
      <c r="A21" s="44" t="s">
        <v>520</v>
      </c>
      <c r="B21" s="44"/>
      <c r="C21" s="44"/>
      <c r="D21" s="44"/>
      <c r="E21" s="44"/>
      <c r="F21" s="44"/>
    </row>
    <row r="22" customFormat="false" ht="15" hidden="false" customHeight="false" outlineLevel="0" collapsed="false">
      <c r="A22" s="44" t="s">
        <v>521</v>
      </c>
      <c r="B22" s="44"/>
      <c r="C22" s="44"/>
      <c r="D22" s="44"/>
      <c r="E22" s="44"/>
      <c r="F22" s="44"/>
    </row>
    <row r="23" customFormat="false" ht="15" hidden="false" customHeight="false" outlineLevel="0" collapsed="false">
      <c r="A23" s="44" t="s">
        <v>522</v>
      </c>
      <c r="B23" s="44"/>
      <c r="C23" s="44"/>
      <c r="D23" s="44"/>
      <c r="E23" s="44"/>
      <c r="F23" s="44"/>
    </row>
    <row r="24" customFormat="false" ht="15" hidden="false" customHeight="false" outlineLevel="0" collapsed="false">
      <c r="A24" s="44" t="s">
        <v>523</v>
      </c>
      <c r="B24" s="44"/>
      <c r="C24" s="44"/>
      <c r="D24" s="44"/>
      <c r="E24" s="44"/>
      <c r="F24" s="44"/>
    </row>
    <row r="25" customFormat="false" ht="15" hidden="false" customHeight="false" outlineLevel="0" collapsed="false">
      <c r="A25" s="44"/>
      <c r="B25" s="44"/>
      <c r="C25" s="44"/>
      <c r="D25" s="44"/>
      <c r="E25" s="44"/>
      <c r="F25" s="44"/>
    </row>
    <row r="26" customFormat="false" ht="15" hidden="false" customHeight="false" outlineLevel="0" collapsed="false">
      <c r="A26" s="43" t="s">
        <v>524</v>
      </c>
      <c r="B26" s="43"/>
      <c r="C26" s="43"/>
      <c r="D26" s="43"/>
      <c r="E26" s="43"/>
      <c r="F26" s="43"/>
    </row>
    <row r="27" customFormat="false" ht="15" hidden="false" customHeight="false" outlineLevel="0" collapsed="false">
      <c r="A27" s="44" t="s">
        <v>525</v>
      </c>
      <c r="B27" s="44"/>
      <c r="C27" s="44"/>
      <c r="D27" s="44"/>
      <c r="E27" s="44"/>
      <c r="F27" s="44"/>
    </row>
    <row r="28" customFormat="false" ht="15" hidden="false" customHeight="false" outlineLevel="0" collapsed="false">
      <c r="A28" s="44" t="s">
        <v>526</v>
      </c>
      <c r="B28" s="44"/>
      <c r="C28" s="44"/>
      <c r="D28" s="44"/>
      <c r="E28" s="44"/>
      <c r="F28" s="44"/>
    </row>
    <row r="29" customFormat="false" ht="15" hidden="false" customHeight="false" outlineLevel="0" collapsed="false">
      <c r="A29" s="44" t="s">
        <v>527</v>
      </c>
      <c r="B29" s="44"/>
      <c r="C29" s="44"/>
      <c r="D29" s="44"/>
      <c r="E29" s="44"/>
      <c r="F29" s="44"/>
    </row>
    <row r="30" customFormat="false" ht="15" hidden="false" customHeight="false" outlineLevel="0" collapsed="false">
      <c r="A30" s="44" t="s">
        <v>528</v>
      </c>
      <c r="B30" s="44"/>
      <c r="C30" s="44"/>
      <c r="D30" s="44"/>
      <c r="E30" s="44"/>
      <c r="F30" s="44"/>
    </row>
    <row r="31" customFormat="false" ht="15" hidden="false" customHeight="false" outlineLevel="0" collapsed="false">
      <c r="A31" s="44" t="s">
        <v>529</v>
      </c>
      <c r="B31" s="44"/>
      <c r="C31" s="44"/>
      <c r="D31" s="44"/>
      <c r="E31" s="44"/>
      <c r="F31" s="44"/>
    </row>
  </sheetData>
  <mergeCells count="18"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2026-10-06T18:15:51Z</dcterms:created>
  <dc:creator>openpyxl</dc:creator>
  <dc:description/>
  <dc:language>en-US</dc:language>
  <cp:lastModifiedBy/>
  <dcterms:modified xsi:type="dcterms:W3CDTF">2026-10-06T18:15:51Z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